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helle.long\Downloads\Omni Healthcare\"/>
    </mc:Choice>
  </mc:AlternateContent>
  <xr:revisionPtr revIDLastSave="0" documentId="13_ncr:1_{2F8D3663-4CB6-40B1-9A07-5E2C19AAA7B5}" xr6:coauthVersionLast="47" xr6:coauthVersionMax="47" xr10:uidLastSave="{00000000-0000-0000-0000-000000000000}"/>
  <bookViews>
    <workbookView xWindow="12795" yWindow="-16320" windowWidth="29040" windowHeight="15720" xr2:uid="{00000000-000D-0000-FFFF-FFFF00000000}"/>
  </bookViews>
  <sheets>
    <sheet name="Census" sheetId="1" r:id="rId1"/>
    <sheet name="WC Tab" sheetId="5" r:id="rId2"/>
    <sheet name="Sheet1" sheetId="4" r:id="rId3"/>
  </sheets>
  <definedNames>
    <definedName name="_xlnm._FilterDatabase" localSheetId="0" hidden="1">Census!$A$2:$M$152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1" i="1" l="1"/>
  <c r="M151" i="1" l="1"/>
</calcChain>
</file>

<file path=xl/sharedStrings.xml><?xml version="1.0" encoding="utf-8"?>
<sst xmlns="http://schemas.openxmlformats.org/spreadsheetml/2006/main" count="1115" uniqueCount="389">
  <si>
    <t>Group Identification Key Data</t>
  </si>
  <si>
    <t>Job Title</t>
  </si>
  <si>
    <t>W/C Code</t>
  </si>
  <si>
    <t>W/C State</t>
  </si>
  <si>
    <t>Coverage Level</t>
  </si>
  <si>
    <t>Healthcare</t>
  </si>
  <si>
    <t xml:space="preserve">Annual Pay </t>
  </si>
  <si>
    <t>DOB</t>
  </si>
  <si>
    <t>Employee  Name</t>
  </si>
  <si>
    <t>Home State</t>
  </si>
  <si>
    <t>Payroll Frequency</t>
  </si>
  <si>
    <t>Bi-Weekly</t>
  </si>
  <si>
    <t>Semi-Monthly</t>
  </si>
  <si>
    <t>Monthly</t>
  </si>
  <si>
    <t>Weekly</t>
  </si>
  <si>
    <t>Payroll Frequency:</t>
  </si>
  <si>
    <t>Payroll Invoice Date</t>
  </si>
  <si>
    <t>Total Annualized Payroll from Invoice</t>
  </si>
  <si>
    <t>Gender</t>
  </si>
  <si>
    <t>Row Labels</t>
  </si>
  <si>
    <t>Grand Total</t>
  </si>
  <si>
    <t>Number of Employees</t>
  </si>
  <si>
    <t xml:space="preserve">Sum of Annual Pay </t>
  </si>
  <si>
    <t>ZIP CODE</t>
  </si>
  <si>
    <t>Last</t>
  </si>
  <si>
    <t>F/T or P/T</t>
  </si>
  <si>
    <t>E</t>
  </si>
  <si>
    <t>S</t>
  </si>
  <si>
    <t>C</t>
  </si>
  <si>
    <t>Altenburg</t>
  </si>
  <si>
    <t>Steiner</t>
  </si>
  <si>
    <t>Baez</t>
  </si>
  <si>
    <t>Barzilay</t>
  </si>
  <si>
    <t>Blain</t>
  </si>
  <si>
    <t>Jackson</t>
  </si>
  <si>
    <t>Spivey</t>
  </si>
  <si>
    <t>Bobango</t>
  </si>
  <si>
    <t>Bradley-Page</t>
  </si>
  <si>
    <t>Brennan</t>
  </si>
  <si>
    <t>Brown</t>
  </si>
  <si>
    <t>Bullard</t>
  </si>
  <si>
    <t>Caputo</t>
  </si>
  <si>
    <t>Cato</t>
  </si>
  <si>
    <t>Chardon</t>
  </si>
  <si>
    <t>Chary</t>
  </si>
  <si>
    <t>Clark</t>
  </si>
  <si>
    <t>Cochran</t>
  </si>
  <si>
    <t>Collazo</t>
  </si>
  <si>
    <t>Costleigh</t>
  </si>
  <si>
    <t>Creel</t>
  </si>
  <si>
    <t>Crinion</t>
  </si>
  <si>
    <t>Delarosa</t>
  </si>
  <si>
    <t>Deligdish</t>
  </si>
  <si>
    <t>Doyle</t>
  </si>
  <si>
    <t>Edler</t>
  </si>
  <si>
    <t>Estrella-Marsh</t>
  </si>
  <si>
    <t>Marsh</t>
  </si>
  <si>
    <t>Figueroa</t>
  </si>
  <si>
    <t>Fleck</t>
  </si>
  <si>
    <t>Flick-Trevino</t>
  </si>
  <si>
    <t>Franklin</t>
  </si>
  <si>
    <t>Glasgow</t>
  </si>
  <si>
    <t>Godwin</t>
  </si>
  <si>
    <t>Gonzalez</t>
  </si>
  <si>
    <t>Griffin</t>
  </si>
  <si>
    <t>Hall</t>
  </si>
  <si>
    <t>Hamilton</t>
  </si>
  <si>
    <t>Hill</t>
  </si>
  <si>
    <t>Johnson</t>
  </si>
  <si>
    <t>Jones</t>
  </si>
  <si>
    <t>Kennedy</t>
  </si>
  <si>
    <t>Kheradpezhouh</t>
  </si>
  <si>
    <t>Saheli</t>
  </si>
  <si>
    <t>Kherad</t>
  </si>
  <si>
    <t>LaCost</t>
  </si>
  <si>
    <t>Lalta</t>
  </si>
  <si>
    <t>Lanzetta</t>
  </si>
  <si>
    <t>Lillis</t>
  </si>
  <si>
    <t>Lopez</t>
  </si>
  <si>
    <t>Mattes</t>
  </si>
  <si>
    <t>Hicks</t>
  </si>
  <si>
    <t>Matthew</t>
  </si>
  <si>
    <t>Mayor-Davies</t>
  </si>
  <si>
    <t>Menashe</t>
  </si>
  <si>
    <t>Medina</t>
  </si>
  <si>
    <t>Mejia</t>
  </si>
  <si>
    <t>Miller</t>
  </si>
  <si>
    <t>Mitchell</t>
  </si>
  <si>
    <t>Molina</t>
  </si>
  <si>
    <t>Montalvan Mendieta</t>
  </si>
  <si>
    <t>Moreno</t>
  </si>
  <si>
    <t>Niegos</t>
  </si>
  <si>
    <t>Nieves</t>
  </si>
  <si>
    <t>Osborn</t>
  </si>
  <si>
    <t>Bentir</t>
  </si>
  <si>
    <t>Owens</t>
  </si>
  <si>
    <t>Paddock</t>
  </si>
  <si>
    <t>Padilla</t>
  </si>
  <si>
    <t>Patel</t>
  </si>
  <si>
    <t>Peltier</t>
  </si>
  <si>
    <t>Perez</t>
  </si>
  <si>
    <t>Pino</t>
  </si>
  <si>
    <t>Pizarro-Lopez</t>
  </si>
  <si>
    <t>BURGOS</t>
  </si>
  <si>
    <t>Burgos</t>
  </si>
  <si>
    <t>Quraeshi</t>
  </si>
  <si>
    <t>Rethwisch</t>
  </si>
  <si>
    <t>Rider</t>
  </si>
  <si>
    <t>Rivera</t>
  </si>
  <si>
    <t>Roberts</t>
  </si>
  <si>
    <t>Rose</t>
  </si>
  <si>
    <t>Ruiz</t>
  </si>
  <si>
    <t>Saint-Hilaire</t>
  </si>
  <si>
    <t>Sanchez Trejo</t>
  </si>
  <si>
    <t>Santamont</t>
  </si>
  <si>
    <t>Buchanan</t>
  </si>
  <si>
    <t>Santiago</t>
  </si>
  <si>
    <t>Saunders</t>
  </si>
  <si>
    <t>Sewell</t>
  </si>
  <si>
    <t>Shastri</t>
  </si>
  <si>
    <t>Shinkunas</t>
  </si>
  <si>
    <t>Skorupa</t>
  </si>
  <si>
    <t>Snyder</t>
  </si>
  <si>
    <t>Stephens</t>
  </si>
  <si>
    <t>Thompson</t>
  </si>
  <si>
    <t>Thornton</t>
  </si>
  <si>
    <t>Tillmann</t>
  </si>
  <si>
    <t>Toussaint</t>
  </si>
  <si>
    <t>Tresnak</t>
  </si>
  <si>
    <t>Trusty</t>
  </si>
  <si>
    <t>Vallejo</t>
  </si>
  <si>
    <t>Euceda</t>
  </si>
  <si>
    <t>Vandusen</t>
  </si>
  <si>
    <t>Vann</t>
  </si>
  <si>
    <t>Vieira</t>
  </si>
  <si>
    <t>Vinarsky</t>
  </si>
  <si>
    <t>Vlasii</t>
  </si>
  <si>
    <t>Walker</t>
  </si>
  <si>
    <t>Washington</t>
  </si>
  <si>
    <t>Wegnerowski</t>
  </si>
  <si>
    <t>Werner</t>
  </si>
  <si>
    <t>White</t>
  </si>
  <si>
    <t>Williams</t>
  </si>
  <si>
    <t>Willson</t>
  </si>
  <si>
    <t>Wilson</t>
  </si>
  <si>
    <t>Worden</t>
  </si>
  <si>
    <t>Ellen</t>
  </si>
  <si>
    <t>Leann</t>
  </si>
  <si>
    <t>Thomas</t>
  </si>
  <si>
    <t>Sean</t>
  </si>
  <si>
    <t>Digna</t>
  </si>
  <si>
    <t>Raz</t>
  </si>
  <si>
    <t>Miltiyia</t>
  </si>
  <si>
    <t>Shiann</t>
  </si>
  <si>
    <t>Havauri</t>
  </si>
  <si>
    <t>Mark</t>
  </si>
  <si>
    <t>Donna</t>
  </si>
  <si>
    <t>Robert</t>
  </si>
  <si>
    <t>Ryan</t>
  </si>
  <si>
    <t>Carol</t>
  </si>
  <si>
    <t>Gregory</t>
  </si>
  <si>
    <t>Garrett</t>
  </si>
  <si>
    <t>Meghan</t>
  </si>
  <si>
    <t>Elisida</t>
  </si>
  <si>
    <t>Madhavi</t>
  </si>
  <si>
    <t>April</t>
  </si>
  <si>
    <t>Tenesha</t>
  </si>
  <si>
    <t>Nicole</t>
  </si>
  <si>
    <t>Maria</t>
  </si>
  <si>
    <t>Brian</t>
  </si>
  <si>
    <t>Rene</t>
  </si>
  <si>
    <t>Tammy</t>
  </si>
  <si>
    <t>Pamela</t>
  </si>
  <si>
    <t>Deanna</t>
  </si>
  <si>
    <t>Jasmin</t>
  </si>
  <si>
    <t>Craig</t>
  </si>
  <si>
    <t>Kimberlee</t>
  </si>
  <si>
    <t>Connor</t>
  </si>
  <si>
    <t>Kaitlynn</t>
  </si>
  <si>
    <t>Sheila</t>
  </si>
  <si>
    <t>Roger</t>
  </si>
  <si>
    <t>Arel</t>
  </si>
  <si>
    <t>Aren</t>
  </si>
  <si>
    <t>Edgar</t>
  </si>
  <si>
    <t>Kayla</t>
  </si>
  <si>
    <t>Petra</t>
  </si>
  <si>
    <t>Jacob</t>
  </si>
  <si>
    <t>Teona</t>
  </si>
  <si>
    <t>Veronica</t>
  </si>
  <si>
    <t>Tauchon</t>
  </si>
  <si>
    <t>Edwin</t>
  </si>
  <si>
    <t>Lismarie</t>
  </si>
  <si>
    <t>Carolyne</t>
  </si>
  <si>
    <t>Christopher</t>
  </si>
  <si>
    <t>Misty</t>
  </si>
  <si>
    <t>Shuttera</t>
  </si>
  <si>
    <t>Cassondra</t>
  </si>
  <si>
    <t>Mohsen</t>
  </si>
  <si>
    <t>Gezel</t>
  </si>
  <si>
    <t>Kian</t>
  </si>
  <si>
    <t>Koosha</t>
  </si>
  <si>
    <t>Kelly</t>
  </si>
  <si>
    <t>Jnaya</t>
  </si>
  <si>
    <t>Ian</t>
  </si>
  <si>
    <t>Kiara</t>
  </si>
  <si>
    <t>Amanda</t>
  </si>
  <si>
    <t>Caridad</t>
  </si>
  <si>
    <t>Maritza</t>
  </si>
  <si>
    <t>Suzette</t>
  </si>
  <si>
    <t>Rita</t>
  </si>
  <si>
    <t>Emoyah</t>
  </si>
  <si>
    <t>Judy</t>
  </si>
  <si>
    <t>Louise</t>
  </si>
  <si>
    <t>Joseph</t>
  </si>
  <si>
    <t>Olivia</t>
  </si>
  <si>
    <t>Cinthia</t>
  </si>
  <si>
    <t>Yaritza</t>
  </si>
  <si>
    <t>Regina</t>
  </si>
  <si>
    <t>Katherine</t>
  </si>
  <si>
    <t>Jeannette</t>
  </si>
  <si>
    <t>Gioconda</t>
  </si>
  <si>
    <t>Debra</t>
  </si>
  <si>
    <t>Frederick</t>
  </si>
  <si>
    <t>Marie Fay</t>
  </si>
  <si>
    <t>Daniel</t>
  </si>
  <si>
    <t>Isandra</t>
  </si>
  <si>
    <t>Eric</t>
  </si>
  <si>
    <t>Edzel</t>
  </si>
  <si>
    <t>Noah</t>
  </si>
  <si>
    <t>Rebekah</t>
  </si>
  <si>
    <t>Mickie</t>
  </si>
  <si>
    <t>Kristen</t>
  </si>
  <si>
    <t>Ramona</t>
  </si>
  <si>
    <t>Jenifar</t>
  </si>
  <si>
    <t>Smita</t>
  </si>
  <si>
    <t>Mildred</t>
  </si>
  <si>
    <t>Regan</t>
  </si>
  <si>
    <t>Sandra</t>
  </si>
  <si>
    <t>Francisco</t>
  </si>
  <si>
    <t>Alana</t>
  </si>
  <si>
    <t>Micah</t>
  </si>
  <si>
    <t>Shahmir</t>
  </si>
  <si>
    <t>Kashif</t>
  </si>
  <si>
    <t>Zara</t>
  </si>
  <si>
    <t>Carrie</t>
  </si>
  <si>
    <t>Jenna</t>
  </si>
  <si>
    <t>Everlidis</t>
  </si>
  <si>
    <t>Latisha</t>
  </si>
  <si>
    <t>Mercedes</t>
  </si>
  <si>
    <t>Rachel</t>
  </si>
  <si>
    <t>Flexanne</t>
  </si>
  <si>
    <t>Lizabeth</t>
  </si>
  <si>
    <t>Wilmer</t>
  </si>
  <si>
    <t>Diana</t>
  </si>
  <si>
    <t>Leonardo</t>
  </si>
  <si>
    <t>Adrian</t>
  </si>
  <si>
    <t>Stacey</t>
  </si>
  <si>
    <t>Avery</t>
  </si>
  <si>
    <t>Joyce</t>
  </si>
  <si>
    <t>Chelsea</t>
  </si>
  <si>
    <t>Augustus</t>
  </si>
  <si>
    <t>Malinda</t>
  </si>
  <si>
    <t>Taylor</t>
  </si>
  <si>
    <t>Allison</t>
  </si>
  <si>
    <t>Dina</t>
  </si>
  <si>
    <t>Jeanette</t>
  </si>
  <si>
    <t>Ashley</t>
  </si>
  <si>
    <t>Jamya</t>
  </si>
  <si>
    <t>Gustavo</t>
  </si>
  <si>
    <t>Shirayha</t>
  </si>
  <si>
    <t>Tami</t>
  </si>
  <si>
    <t>Lilia</t>
  </si>
  <si>
    <t>Olena</t>
  </si>
  <si>
    <t>Dennis</t>
  </si>
  <si>
    <t>Anna</t>
  </si>
  <si>
    <t>Kendall</t>
  </si>
  <si>
    <t>Natalie</t>
  </si>
  <si>
    <t>Samira</t>
  </si>
  <si>
    <t>Joan</t>
  </si>
  <si>
    <t>Elisa</t>
  </si>
  <si>
    <t>Wendy</t>
  </si>
  <si>
    <t>Cheryl</t>
  </si>
  <si>
    <t>Kena</t>
  </si>
  <si>
    <t>Mary</t>
  </si>
  <si>
    <t>F</t>
  </si>
  <si>
    <t>M</t>
  </si>
  <si>
    <t>2025/2026 Curative Medical</t>
  </si>
  <si>
    <t>Spouse</t>
  </si>
  <si>
    <t>Child</t>
  </si>
  <si>
    <t>32934-8543</t>
  </si>
  <si>
    <t>32955-6409</t>
  </si>
  <si>
    <t>32909-1407</t>
  </si>
  <si>
    <t>32922-7742</t>
  </si>
  <si>
    <t>32937-2387</t>
  </si>
  <si>
    <t>32949-8281</t>
  </si>
  <si>
    <t>32937-4172</t>
  </si>
  <si>
    <t>32907-3036</t>
  </si>
  <si>
    <t>32935-8875</t>
  </si>
  <si>
    <t>32940-2159</t>
  </si>
  <si>
    <t>32905-7614</t>
  </si>
  <si>
    <t>32904-6725</t>
  </si>
  <si>
    <t>32955-6588</t>
  </si>
  <si>
    <t>32931-2422</t>
  </si>
  <si>
    <t>32950-6906</t>
  </si>
  <si>
    <t>32907-2216</t>
  </si>
  <si>
    <t>32903-4711</t>
  </si>
  <si>
    <t>32935-3929</t>
  </si>
  <si>
    <t>32909-6569</t>
  </si>
  <si>
    <t>32901-7711</t>
  </si>
  <si>
    <t>32940-1845</t>
  </si>
  <si>
    <t>32907-1026</t>
  </si>
  <si>
    <t>32935-6612</t>
  </si>
  <si>
    <t>30223-6326</t>
  </si>
  <si>
    <t>32908-6864</t>
  </si>
  <si>
    <t>32909-3784</t>
  </si>
  <si>
    <t>32907-8223</t>
  </si>
  <si>
    <t>32955-2327</t>
  </si>
  <si>
    <t>32935-2924</t>
  </si>
  <si>
    <t>32908-7562</t>
  </si>
  <si>
    <t>37087-0454</t>
  </si>
  <si>
    <t>32901-6948</t>
  </si>
  <si>
    <t>32955-6685</t>
  </si>
  <si>
    <t>32907-5955</t>
  </si>
  <si>
    <t>32952-4100</t>
  </si>
  <si>
    <t>32935-2076</t>
  </si>
  <si>
    <t>32905-7535</t>
  </si>
  <si>
    <t>32934-8750</t>
  </si>
  <si>
    <t>32907-2727</t>
  </si>
  <si>
    <t>32901-3275</t>
  </si>
  <si>
    <t>32951-3702</t>
  </si>
  <si>
    <t>32908-3364</t>
  </si>
  <si>
    <t>32907-8087</t>
  </si>
  <si>
    <t>32927-9124</t>
  </si>
  <si>
    <t>34769-3457</t>
  </si>
  <si>
    <t>32901-1215</t>
  </si>
  <si>
    <t>32909-8986</t>
  </si>
  <si>
    <t>32907-2450</t>
  </si>
  <si>
    <t>32908-3432</t>
  </si>
  <si>
    <t>34484-3578</t>
  </si>
  <si>
    <t>32905-5933</t>
  </si>
  <si>
    <t>32907-2022</t>
  </si>
  <si>
    <t>32940-7633</t>
  </si>
  <si>
    <t>32955-5270</t>
  </si>
  <si>
    <t>32940-7001</t>
  </si>
  <si>
    <t>32909-4511</t>
  </si>
  <si>
    <t>32931-3238</t>
  </si>
  <si>
    <t>32940-1887</t>
  </si>
  <si>
    <t>32934-8602</t>
  </si>
  <si>
    <t>32908-6423</t>
  </si>
  <si>
    <t>32909-5718</t>
  </si>
  <si>
    <t>32955-6817</t>
  </si>
  <si>
    <t>32901-3162</t>
  </si>
  <si>
    <t>32905-6568</t>
  </si>
  <si>
    <t>32934-8523</t>
  </si>
  <si>
    <t>32907-1253</t>
  </si>
  <si>
    <t>32901-7021</t>
  </si>
  <si>
    <t>32908-1325</t>
  </si>
  <si>
    <t>32953-4421</t>
  </si>
  <si>
    <t>32935-2225</t>
  </si>
  <si>
    <t>32905-5030</t>
  </si>
  <si>
    <t>32935-4082</t>
  </si>
  <si>
    <t>32901-1425</t>
  </si>
  <si>
    <t>32907-9039</t>
  </si>
  <si>
    <t>32931-2306</t>
  </si>
  <si>
    <t>32901-8767</t>
  </si>
  <si>
    <t>32940-3606</t>
  </si>
  <si>
    <t>32901-8739</t>
  </si>
  <si>
    <t>32909-8303</t>
  </si>
  <si>
    <t>32905-5924</t>
  </si>
  <si>
    <t>32909-7312</t>
  </si>
  <si>
    <t>32905-6211</t>
  </si>
  <si>
    <t>32907-1920</t>
  </si>
  <si>
    <t>32940-8823</t>
  </si>
  <si>
    <t>32976-2817</t>
  </si>
  <si>
    <t>32937-5102</t>
  </si>
  <si>
    <t>32940-1971</t>
  </si>
  <si>
    <t>32901-8588</t>
  </si>
  <si>
    <t>32901-8790</t>
  </si>
  <si>
    <t>32904-3522</t>
  </si>
  <si>
    <t>32940-7078</t>
  </si>
  <si>
    <t>32908-7512</t>
  </si>
  <si>
    <t>32909-5422</t>
  </si>
  <si>
    <t>32940-1795</t>
  </si>
  <si>
    <t>32907-2706</t>
  </si>
  <si>
    <t>32780-6370</t>
  </si>
  <si>
    <t>FL</t>
  </si>
  <si>
    <t>P/T</t>
  </si>
  <si>
    <t>F/T</t>
  </si>
  <si>
    <t>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</si>
</sst>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0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2"/>
      <name val="Times New Roman"/>
      <family val="1"/>
    </font>
    <font>
      <sz val="10"/>
      <name val="Arial"/>
      <family val="2"/>
    </font>
    <font>
      <sz val="12"/>
      <color theme="1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12"/>
      <color rgb="FF0070C0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</font>
    <font>
      <sz val="11"/>
      <color indexed="8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8" tint="0.59999389629810485"/>
        <bgColor indexed="8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5" fillId="0" borderId="0"/>
    <xf numFmtId="0" fontId="12" fillId="0" borderId="0"/>
  </cellStyleXfs>
  <cellXfs count="72">
    <xf numFmtId="0" fontId="0" fillId="0" borderId="0" xfId="0"/>
    <xf numFmtId="44" fontId="0" fillId="0" borderId="0" xfId="1" applyFont="1"/>
    <xf numFmtId="14" fontId="0" fillId="0" borderId="0" xfId="0" applyNumberFormat="1"/>
    <xf numFmtId="0" fontId="2" fillId="0" borderId="0" xfId="0" applyFont="1" applyAlignment="1">
      <alignment horizontal="left" vertical="top"/>
    </xf>
    <xf numFmtId="44" fontId="7" fillId="0" borderId="0" xfId="1" applyFont="1" applyAlignment="1">
      <alignment horizontal="left" vertical="top" wrapText="1"/>
    </xf>
    <xf numFmtId="0" fontId="8" fillId="0" borderId="0" xfId="0" applyFont="1"/>
    <xf numFmtId="44" fontId="8" fillId="0" borderId="0" xfId="1" applyFont="1"/>
    <xf numFmtId="14" fontId="8" fillId="0" borderId="0" xfId="0" applyNumberFormat="1" applyFont="1" applyAlignment="1">
      <alignment horizontal="right"/>
    </xf>
    <xf numFmtId="44" fontId="0" fillId="0" borderId="0" xfId="0" applyNumberFormat="1"/>
    <xf numFmtId="44" fontId="3" fillId="0" borderId="0" xfId="1" applyFont="1" applyBorder="1" applyAlignment="1">
      <alignment horizontal="left" vertical="top" wrapText="1"/>
    </xf>
    <xf numFmtId="164" fontId="8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3" fillId="3" borderId="5" xfId="2" applyFont="1" applyFill="1" applyBorder="1" applyAlignment="1">
      <alignment horizontal="center" vertical="top" wrapText="1"/>
    </xf>
    <xf numFmtId="0" fontId="3" fillId="3" borderId="7" xfId="2" applyFont="1" applyFill="1" applyBorder="1" applyAlignment="1">
      <alignment horizontal="left" vertical="top" wrapText="1"/>
    </xf>
    <xf numFmtId="14" fontId="3" fillId="3" borderId="8" xfId="2" applyNumberFormat="1" applyFont="1" applyFill="1" applyBorder="1" applyAlignment="1">
      <alignment horizontal="left" vertical="top" wrapText="1"/>
    </xf>
    <xf numFmtId="0" fontId="3" fillId="3" borderId="8" xfId="2" applyFont="1" applyFill="1" applyBorder="1" applyAlignment="1">
      <alignment horizontal="center" vertical="top" wrapText="1"/>
    </xf>
    <xf numFmtId="0" fontId="3" fillId="3" borderId="8" xfId="2" applyFont="1" applyFill="1" applyBorder="1" applyAlignment="1">
      <alignment horizontal="left" vertical="top" wrapText="1"/>
    </xf>
    <xf numFmtId="44" fontId="3" fillId="3" borderId="9" xfId="1" applyFont="1" applyFill="1" applyBorder="1" applyAlignment="1">
      <alignment horizontal="left" vertical="top" wrapText="1"/>
    </xf>
    <xf numFmtId="0" fontId="10" fillId="0" borderId="12" xfId="0" applyFont="1" applyBorder="1" applyAlignment="1">
      <alignment vertical="top" wrapText="1"/>
    </xf>
    <xf numFmtId="0" fontId="10" fillId="0" borderId="13" xfId="0" applyFont="1" applyBorder="1" applyAlignment="1">
      <alignment vertical="top" wrapText="1"/>
    </xf>
    <xf numFmtId="0" fontId="6" fillId="0" borderId="14" xfId="3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14" fontId="6" fillId="0" borderId="14" xfId="0" applyNumberFormat="1" applyFont="1" applyBorder="1"/>
    <xf numFmtId="165" fontId="6" fillId="0" borderId="14" xfId="0" applyNumberFormat="1" applyFont="1" applyBorder="1"/>
    <xf numFmtId="0" fontId="4" fillId="0" borderId="14" xfId="3" applyFont="1" applyBorder="1" applyAlignment="1">
      <alignment horizontal="center"/>
    </xf>
    <xf numFmtId="0" fontId="6" fillId="0" borderId="14" xfId="0" applyFont="1" applyBorder="1"/>
    <xf numFmtId="0" fontId="9" fillId="0" borderId="14" xfId="3" applyFont="1" applyBorder="1" applyAlignment="1">
      <alignment horizontal="center"/>
    </xf>
    <xf numFmtId="164" fontId="10" fillId="0" borderId="15" xfId="0" applyNumberFormat="1" applyFont="1" applyBorder="1" applyAlignment="1">
      <alignment horizontal="right"/>
    </xf>
    <xf numFmtId="0" fontId="11" fillId="3" borderId="8" xfId="2" applyFont="1" applyFill="1" applyBorder="1" applyAlignment="1">
      <alignment horizontal="left" vertical="top" wrapText="1"/>
    </xf>
    <xf numFmtId="0" fontId="11" fillId="3" borderId="17" xfId="2" applyFont="1" applyFill="1" applyBorder="1" applyAlignment="1">
      <alignment horizontal="left" vertical="top" wrapText="1"/>
    </xf>
    <xf numFmtId="0" fontId="9" fillId="0" borderId="19" xfId="3" applyFont="1" applyBorder="1" applyAlignment="1">
      <alignment horizontal="center"/>
    </xf>
    <xf numFmtId="164" fontId="13" fillId="0" borderId="1" xfId="0" applyNumberFormat="1" applyFont="1" applyBorder="1" applyAlignment="1">
      <alignment horizontal="right"/>
    </xf>
    <xf numFmtId="0" fontId="14" fillId="0" borderId="1" xfId="2" applyFont="1" applyFill="1" applyBorder="1" applyAlignment="1">
      <alignment horizontal="left" vertical="top" wrapText="1"/>
    </xf>
    <xf numFmtId="0" fontId="13" fillId="0" borderId="1" xfId="0" applyFont="1" applyBorder="1"/>
    <xf numFmtId="14" fontId="8" fillId="0" borderId="1" xfId="0" applyNumberFormat="1" applyFont="1" applyBorder="1" applyAlignment="1">
      <alignment horizontal="right"/>
    </xf>
    <xf numFmtId="0" fontId="8" fillId="0" borderId="1" xfId="0" applyFont="1" applyBorder="1"/>
    <xf numFmtId="44" fontId="8" fillId="0" borderId="1" xfId="1" applyFont="1" applyBorder="1"/>
    <xf numFmtId="0" fontId="6" fillId="4" borderId="16" xfId="0" applyFont="1" applyFill="1" applyBorder="1" applyAlignment="1">
      <alignment vertical="top" wrapText="1"/>
    </xf>
    <xf numFmtId="0" fontId="6" fillId="4" borderId="11" xfId="0" applyFont="1" applyFill="1" applyBorder="1" applyAlignment="1">
      <alignment vertical="top" wrapText="1"/>
    </xf>
    <xf numFmtId="0" fontId="6" fillId="4" borderId="1" xfId="3" applyFont="1" applyFill="1" applyBorder="1" applyAlignment="1">
      <alignment horizontal="center"/>
    </xf>
    <xf numFmtId="14" fontId="6" fillId="4" borderId="10" xfId="0" applyNumberFormat="1" applyFont="1" applyFill="1" applyBorder="1" applyAlignment="1">
      <alignment horizontal="center"/>
    </xf>
    <xf numFmtId="0" fontId="4" fillId="4" borderId="10" xfId="3" applyFont="1" applyFill="1" applyBorder="1" applyAlignment="1">
      <alignment horizontal="center"/>
    </xf>
    <xf numFmtId="0" fontId="6" fillId="4" borderId="1" xfId="0" applyFont="1" applyFill="1" applyBorder="1"/>
    <xf numFmtId="49" fontId="6" fillId="4" borderId="1" xfId="0" applyNumberFormat="1" applyFont="1" applyFill="1" applyBorder="1" applyAlignment="1">
      <alignment horizontal="center"/>
    </xf>
    <xf numFmtId="164" fontId="4" fillId="4" borderId="18" xfId="3" applyNumberFormat="1" applyFont="1" applyFill="1" applyBorder="1" applyAlignment="1">
      <alignment horizontal="center"/>
    </xf>
    <xf numFmtId="164" fontId="4" fillId="4" borderId="6" xfId="0" applyNumberFormat="1" applyFont="1" applyFill="1" applyBorder="1" applyAlignment="1">
      <alignment horizontal="right"/>
    </xf>
    <xf numFmtId="0" fontId="9" fillId="4" borderId="10" xfId="3" applyFont="1" applyFill="1" applyBorder="1" applyAlignment="1">
      <alignment horizontal="center"/>
    </xf>
    <xf numFmtId="164" fontId="4" fillId="0" borderId="6" xfId="0" applyNumberFormat="1" applyFont="1" applyBorder="1" applyAlignment="1">
      <alignment horizontal="right"/>
    </xf>
    <xf numFmtId="0" fontId="6" fillId="0" borderId="11" xfId="0" applyFont="1" applyBorder="1" applyAlignment="1">
      <alignment vertical="top" wrapText="1"/>
    </xf>
    <xf numFmtId="0" fontId="6" fillId="0" borderId="1" xfId="3" applyFont="1" applyBorder="1" applyAlignment="1">
      <alignment horizontal="center"/>
    </xf>
    <xf numFmtId="0" fontId="6" fillId="0" borderId="16" xfId="0" applyFont="1" applyBorder="1" applyAlignment="1">
      <alignment vertical="top" wrapText="1"/>
    </xf>
    <xf numFmtId="14" fontId="6" fillId="0" borderId="10" xfId="0" applyNumberFormat="1" applyFont="1" applyBorder="1" applyAlignment="1">
      <alignment horizontal="center"/>
    </xf>
    <xf numFmtId="0" fontId="9" fillId="0" borderId="10" xfId="3" applyFont="1" applyBorder="1" applyAlignment="1">
      <alignment horizontal="center"/>
    </xf>
    <xf numFmtId="0" fontId="6" fillId="4" borderId="2" xfId="0" applyFont="1" applyFill="1" applyBorder="1" applyAlignment="1">
      <alignment vertical="top" wrapText="1"/>
    </xf>
    <xf numFmtId="14" fontId="6" fillId="4" borderId="1" xfId="0" applyNumberFormat="1" applyFont="1" applyFill="1" applyBorder="1" applyAlignment="1">
      <alignment horizontal="center"/>
    </xf>
    <xf numFmtId="0" fontId="6" fillId="5" borderId="1" xfId="0" applyFont="1" applyFill="1" applyBorder="1"/>
    <xf numFmtId="49" fontId="6" fillId="5" borderId="1" xfId="0" applyNumberFormat="1" applyFont="1" applyFill="1" applyBorder="1" applyAlignment="1">
      <alignment horizontal="center"/>
    </xf>
    <xf numFmtId="1" fontId="6" fillId="4" borderId="1" xfId="0" applyNumberFormat="1" applyFont="1" applyFill="1" applyBorder="1" applyAlignment="1">
      <alignment horizontal="center"/>
    </xf>
    <xf numFmtId="1" fontId="6" fillId="4" borderId="10" xfId="0" applyNumberFormat="1" applyFont="1" applyFill="1" applyBorder="1" applyAlignment="1">
      <alignment horizontal="center"/>
    </xf>
    <xf numFmtId="1" fontId="6" fillId="0" borderId="10" xfId="0" applyNumberFormat="1" applyFont="1" applyBorder="1" applyAlignment="1">
      <alignment horizontal="center"/>
    </xf>
    <xf numFmtId="0" fontId="4" fillId="0" borderId="10" xfId="3" applyFont="1" applyBorder="1" applyAlignment="1">
      <alignment horizontal="center"/>
    </xf>
    <xf numFmtId="0" fontId="4" fillId="0" borderId="1" xfId="3" applyFont="1" applyBorder="1" applyAlignment="1">
      <alignment horizontal="center"/>
    </xf>
    <xf numFmtId="0" fontId="4" fillId="4" borderId="1" xfId="3" applyFont="1" applyFill="1" applyBorder="1" applyAlignment="1">
      <alignment horizontal="center"/>
    </xf>
    <xf numFmtId="0" fontId="6" fillId="0" borderId="20" xfId="0" applyFont="1" applyBorder="1" applyAlignment="1">
      <alignment vertical="top" wrapText="1"/>
    </xf>
    <xf numFmtId="0" fontId="6" fillId="0" borderId="10" xfId="3" applyFont="1" applyBorder="1" applyAlignment="1">
      <alignment horizontal="center"/>
    </xf>
    <xf numFmtId="0" fontId="6" fillId="5" borderId="10" xfId="0" applyFont="1" applyFill="1" applyBorder="1"/>
    <xf numFmtId="49" fontId="6" fillId="5" borderId="10" xfId="0" applyNumberFormat="1" applyFont="1" applyFill="1" applyBorder="1" applyAlignment="1">
      <alignment horizontal="center"/>
    </xf>
    <xf numFmtId="164" fontId="4" fillId="0" borderId="18" xfId="3" applyNumberFormat="1" applyFont="1" applyBorder="1" applyAlignment="1">
      <alignment horizontal="center"/>
    </xf>
    <xf numFmtId="0" fontId="4" fillId="0" borderId="18" xfId="3" applyFont="1" applyBorder="1" applyAlignment="1">
      <alignment horizontal="center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</cellXfs>
  <cellStyles count="5">
    <cellStyle name="40% - Accent3" xfId="2" builtinId="39"/>
    <cellStyle name="Currency" xfId="1" builtinId="4"/>
    <cellStyle name="Normal" xfId="0" builtinId="0"/>
    <cellStyle name="Normal 2" xfId="3" xr:uid="{00000000-0005-0000-0000-000003000000}"/>
    <cellStyle name="Normal 3" xfId="4" xr:uid="{4802EF3A-C464-4E18-A58C-CBBB3B8A356E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colors>
    <mruColors>
      <color rgb="FFCC3399"/>
      <color rgb="FFFF6699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150</xdr:row>
      <xdr:rowOff>0</xdr:rowOff>
    </xdr:from>
    <xdr:to>
      <xdr:col>0</xdr:col>
      <xdr:colOff>571500</xdr:colOff>
      <xdr:row>151</xdr:row>
      <xdr:rowOff>63500</xdr:rowOff>
    </xdr:to>
    <xdr:sp macro="" textlink="">
      <xdr:nvSpPr>
        <xdr:cNvPr id="5" name="AutoShape 1" descr="http://docs.google.com/?pid=gmail&amp;thid=1247e0c94d6fa5f8&amp;attid=0.1&amp;url=http%3A%2F%2Fmail.google.com%2Fmail%2F%3Fui%3D2%26ik%3D81a5c515d2%26view%3Datt%26th%3D1247e0c94d6fa5f8%26attid%3D0.1%26disp%3Dattd%26zw&amp;docid=07eb6d81a4f4266fde7e345fad2460da%7Cc91c5d5233b04bec8db213b9fc42ba3a&amp;a=bi&amp;pagenumber=1&amp;w=800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0" y="9172575"/>
          <a:ext cx="5715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571500</xdr:colOff>
      <xdr:row>151</xdr:row>
      <xdr:rowOff>63500</xdr:rowOff>
    </xdr:to>
    <xdr:sp macro="" textlink="">
      <xdr:nvSpPr>
        <xdr:cNvPr id="6" name="AutoShape 1" descr="http://docs.google.com/?pid=gmail&amp;thid=1247e0c94d6fa5f8&amp;attid=0.1&amp;url=http%3A%2F%2Fmail.google.com%2Fmail%2F%3Fui%3D2%26ik%3D81a5c515d2%26view%3Datt%26th%3D1247e0c94d6fa5f8%26attid%3D0.1%26disp%3Dattd%26zw&amp;docid=07eb6d81a4f4266fde7e345fad2460da%7Cc91c5d5233b04bec8db213b9fc42ba3a&amp;a=bi&amp;pagenumber=1&amp;w=80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0" y="9172575"/>
          <a:ext cx="5715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571500</xdr:colOff>
      <xdr:row>151</xdr:row>
      <xdr:rowOff>44450</xdr:rowOff>
    </xdr:to>
    <xdr:sp macro="" textlink="">
      <xdr:nvSpPr>
        <xdr:cNvPr id="7" name="AutoShape 1" descr="http://docs.google.com/?pid=gmail&amp;thid=1247e0c94d6fa5f8&amp;attid=0.1&amp;url=http%3A%2F%2Fmail.google.com%2Fmail%2F%3Fui%3D2%26ik%3D81a5c515d2%26view%3Datt%26th%3D1247e0c94d6fa5f8%26attid%3D0.1%26disp%3Dattd%26zw&amp;docid=07eb6d81a4f4266fde7e345fad2460da%7Cc91c5d5233b04bec8db213b9fc42ba3a&amp;a=bi&amp;pagenumber=1&amp;w=80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0" y="9172575"/>
          <a:ext cx="5715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600075</xdr:colOff>
      <xdr:row>151</xdr:row>
      <xdr:rowOff>66675</xdr:rowOff>
    </xdr:to>
    <xdr:sp macro="" textlink="">
      <xdr:nvSpPr>
        <xdr:cNvPr id="2" name="AutoShape 1" descr="http://docs.google.com/?pid=gmail&amp;thid=1247e0c94d6fa5f8&amp;attid=0.1&amp;url=http%3A%2F%2Fmail.google.com%2Fmail%2F%3Fui%3D2%26ik%3D81a5c515d2%26view%3Datt%26th%3D1247e0c94d6fa5f8%26attid%3D0.1%26disp%3Dattd%26zw&amp;docid=07eb6d81a4f4266fde7e345fad2460da%7Cc91c5d5233b04bec8db213b9fc42ba3a&amp;a=bi&amp;pagenumber=1&amp;w=8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924175"/>
          <a:ext cx="596900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600075</xdr:colOff>
      <xdr:row>151</xdr:row>
      <xdr:rowOff>66675</xdr:rowOff>
    </xdr:to>
    <xdr:sp macro="" textlink="">
      <xdr:nvSpPr>
        <xdr:cNvPr id="3" name="AutoShape 1" descr="http://docs.google.com/?pid=gmail&amp;thid=1247e0c94d6fa5f8&amp;attid=0.1&amp;url=http%3A%2F%2Fmail.google.com%2Fmail%2F%3Fui%3D2%26ik%3D81a5c515d2%26view%3Datt%26th%3D1247e0c94d6fa5f8%26attid%3D0.1%26disp%3Dattd%26zw&amp;docid=07eb6d81a4f4266fde7e345fad2460da%7Cc91c5d5233b04bec8db213b9fc42ba3a&amp;a=bi&amp;pagenumber=1&amp;w=80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924175"/>
          <a:ext cx="596900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600075</xdr:colOff>
      <xdr:row>151</xdr:row>
      <xdr:rowOff>47625</xdr:rowOff>
    </xdr:to>
    <xdr:sp macro="" textlink="">
      <xdr:nvSpPr>
        <xdr:cNvPr id="4" name="AutoShape 1" descr="http://docs.google.com/?pid=gmail&amp;thid=1247e0c94d6fa5f8&amp;attid=0.1&amp;url=http%3A%2F%2Fmail.google.com%2Fmail%2F%3Fui%3D2%26ik%3D81a5c515d2%26view%3Datt%26th%3D1247e0c94d6fa5f8%26attid%3D0.1%26disp%3Dattd%26zw&amp;docid=07eb6d81a4f4266fde7e345fad2460da%7Cc91c5d5233b04bec8db213b9fc42ba3a&amp;a=bi&amp;pagenumber=1&amp;w=80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924175"/>
          <a:ext cx="596900" cy="25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571500</xdr:colOff>
      <xdr:row>151</xdr:row>
      <xdr:rowOff>63500</xdr:rowOff>
    </xdr:to>
    <xdr:sp macro="" textlink="">
      <xdr:nvSpPr>
        <xdr:cNvPr id="8" name="AutoShape 1" descr="http://docs.google.com/?pid=gmail&amp;thid=1247e0c94d6fa5f8&amp;attid=0.1&amp;url=http%3A%2F%2Fmail.google.com%2Fmail%2F%3Fui%3D2%26ik%3D81a5c515d2%26view%3Datt%26th%3D1247e0c94d6fa5f8%26attid%3D0.1%26disp%3Dattd%26zw&amp;docid=07eb6d81a4f4266fde7e345fad2460da%7Cc91c5d5233b04bec8db213b9fc42ba3a&amp;a=bi&amp;pagenumber=1&amp;w=80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1553825"/>
          <a:ext cx="5715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571500</xdr:colOff>
      <xdr:row>151</xdr:row>
      <xdr:rowOff>63500</xdr:rowOff>
    </xdr:to>
    <xdr:sp macro="" textlink="">
      <xdr:nvSpPr>
        <xdr:cNvPr id="9" name="AutoShape 1" descr="http://docs.google.com/?pid=gmail&amp;thid=1247e0c94d6fa5f8&amp;attid=0.1&amp;url=http%3A%2F%2Fmail.google.com%2Fmail%2F%3Fui%3D2%26ik%3D81a5c515d2%26view%3Datt%26th%3D1247e0c94d6fa5f8%26attid%3D0.1%26disp%3Dattd%26zw&amp;docid=07eb6d81a4f4266fde7e345fad2460da%7Cc91c5d5233b04bec8db213b9fc42ba3a&amp;a=bi&amp;pagenumber=1&amp;w=80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1553825"/>
          <a:ext cx="5715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5</xdr:col>
      <xdr:colOff>142875</xdr:colOff>
      <xdr:row>150</xdr:row>
      <xdr:rowOff>0</xdr:rowOff>
    </xdr:from>
    <xdr:to>
      <xdr:col>5</xdr:col>
      <xdr:colOff>711200</xdr:colOff>
      <xdr:row>151</xdr:row>
      <xdr:rowOff>44450</xdr:rowOff>
    </xdr:to>
    <xdr:sp macro="" textlink="">
      <xdr:nvSpPr>
        <xdr:cNvPr id="10" name="AutoShape 1" descr="http://docs.google.com/?pid=gmail&amp;thid=1247e0c94d6fa5f8&amp;attid=0.1&amp;url=http%3A%2F%2Fmail.google.com%2Fmail%2F%3Fui%3D2%26ik%3D81a5c515d2%26view%3Datt%26th%3D1247e0c94d6fa5f8%26attid%3D0.1%26disp%3Dattd%26zw&amp;docid=07eb6d81a4f4266fde7e345fad2460da%7Cc91c5d5233b04bec8db213b9fc42ba3a&amp;a=bi&amp;pagenumber=1&amp;w=80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6019800" y="11553825"/>
          <a:ext cx="5715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571500</xdr:colOff>
      <xdr:row>151</xdr:row>
      <xdr:rowOff>63500</xdr:rowOff>
    </xdr:to>
    <xdr:sp macro="" textlink="">
      <xdr:nvSpPr>
        <xdr:cNvPr id="14" name="AutoShape 1" descr="http://docs.google.com/?pid=gmail&amp;thid=1247e0c94d6fa5f8&amp;attid=0.1&amp;url=http%3A%2F%2Fmail.google.com%2Fmail%2F%3Fui%3D2%26ik%3D81a5c515d2%26view%3Datt%26th%3D1247e0c94d6fa5f8%26attid%3D0.1%26disp%3Dattd%26zw&amp;docid=07eb6d81a4f4266fde7e345fad2460da%7Cc91c5d5233b04bec8db213b9fc42ba3a&amp;a=bi&amp;pagenumber=1&amp;w=800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1088350"/>
          <a:ext cx="5715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571500</xdr:colOff>
      <xdr:row>151</xdr:row>
      <xdr:rowOff>63500</xdr:rowOff>
    </xdr:to>
    <xdr:sp macro="" textlink="">
      <xdr:nvSpPr>
        <xdr:cNvPr id="15" name="AutoShape 1" descr="http://docs.google.com/?pid=gmail&amp;thid=1247e0c94d6fa5f8&amp;attid=0.1&amp;url=http%3A%2F%2Fmail.google.com%2Fmail%2F%3Fui%3D2%26ik%3D81a5c515d2%26view%3Datt%26th%3D1247e0c94d6fa5f8%26attid%3D0.1%26disp%3Dattd%26zw&amp;docid=07eb6d81a4f4266fde7e345fad2460da%7Cc91c5d5233b04bec8db213b9fc42ba3a&amp;a=bi&amp;pagenumber=1&amp;w=800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1088350"/>
          <a:ext cx="5715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5</xdr:col>
      <xdr:colOff>142875</xdr:colOff>
      <xdr:row>150</xdr:row>
      <xdr:rowOff>0</xdr:rowOff>
    </xdr:from>
    <xdr:to>
      <xdr:col>5</xdr:col>
      <xdr:colOff>711200</xdr:colOff>
      <xdr:row>151</xdr:row>
      <xdr:rowOff>44450</xdr:rowOff>
    </xdr:to>
    <xdr:sp macro="" textlink="">
      <xdr:nvSpPr>
        <xdr:cNvPr id="16" name="AutoShape 1" descr="http://docs.google.com/?pid=gmail&amp;thid=1247e0c94d6fa5f8&amp;attid=0.1&amp;url=http%3A%2F%2Fmail.google.com%2Fmail%2F%3Fui%3D2%26ik%3D81a5c515d2%26view%3Datt%26th%3D1247e0c94d6fa5f8%26attid%3D0.1%26disp%3Dattd%26zw&amp;docid=07eb6d81a4f4266fde7e345fad2460da%7Cc91c5d5233b04bec8db213b9fc42ba3a&amp;a=bi&amp;pagenumber=1&amp;w=800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7143750" y="21088350"/>
          <a:ext cx="5715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600075</xdr:colOff>
      <xdr:row>151</xdr:row>
      <xdr:rowOff>63500</xdr:rowOff>
    </xdr:to>
    <xdr:sp macro="" textlink="">
      <xdr:nvSpPr>
        <xdr:cNvPr id="11" name="AutoShape 1" descr="http://docs.google.com/?pid=gmail&amp;thid=1247e0c94d6fa5f8&amp;attid=0.1&amp;url=http%3A%2F%2Fmail.google.com%2Fmail%2F%3Fui%3D2%26ik%3D81a5c515d2%26view%3Datt%26th%3D1247e0c94d6fa5f8%26attid%3D0.1%26disp%3Dattd%26zw&amp;docid=07eb6d81a4f4266fde7e345fad2460da%7Cc91c5d5233b04bec8db213b9fc42ba3a&amp;a=bi&amp;pagenumber=1&amp;w=80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362325"/>
          <a:ext cx="5969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600075</xdr:colOff>
      <xdr:row>151</xdr:row>
      <xdr:rowOff>63500</xdr:rowOff>
    </xdr:to>
    <xdr:sp macro="" textlink="">
      <xdr:nvSpPr>
        <xdr:cNvPr id="12" name="AutoShape 1" descr="http://docs.google.com/?pid=gmail&amp;thid=1247e0c94d6fa5f8&amp;attid=0.1&amp;url=http%3A%2F%2Fmail.google.com%2Fmail%2F%3Fui%3D2%26ik%3D81a5c515d2%26view%3Datt%26th%3D1247e0c94d6fa5f8%26attid%3D0.1%26disp%3Dattd%26zw&amp;docid=07eb6d81a4f4266fde7e345fad2460da%7Cc91c5d5233b04bec8db213b9fc42ba3a&amp;a=bi&amp;pagenumber=1&amp;w=80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362325"/>
          <a:ext cx="5969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600075</xdr:colOff>
      <xdr:row>151</xdr:row>
      <xdr:rowOff>44450</xdr:rowOff>
    </xdr:to>
    <xdr:sp macro="" textlink="">
      <xdr:nvSpPr>
        <xdr:cNvPr id="13" name="AutoShape 1" descr="http://docs.google.com/?pid=gmail&amp;thid=1247e0c94d6fa5f8&amp;attid=0.1&amp;url=http%3A%2F%2Fmail.google.com%2Fmail%2F%3Fui%3D2%26ik%3D81a5c515d2%26view%3Datt%26th%3D1247e0c94d6fa5f8%26attid%3D0.1%26disp%3Dattd%26zw&amp;docid=07eb6d81a4f4266fde7e345fad2460da%7Cc91c5d5233b04bec8db213b9fc42ba3a&amp;a=bi&amp;pagenumber=1&amp;w=800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362325"/>
          <a:ext cx="5969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600075</xdr:colOff>
      <xdr:row>151</xdr:row>
      <xdr:rowOff>63500</xdr:rowOff>
    </xdr:to>
    <xdr:sp macro="" textlink="">
      <xdr:nvSpPr>
        <xdr:cNvPr id="20" name="AutoShape 1" descr="http://docs.google.com/?pid=gmail&amp;thid=1247e0c94d6fa5f8&amp;attid=0.1&amp;url=http%3A%2F%2Fmail.google.com%2Fmail%2F%3Fui%3D2%26ik%3D81a5c515d2%26view%3Datt%26th%3D1247e0c94d6fa5f8%26attid%3D0.1%26disp%3Dattd%26zw&amp;docid=07eb6d81a4f4266fde7e345fad2460da%7Cc91c5d5233b04bec8db213b9fc42ba3a&amp;a=bi&amp;pagenumber=1&amp;w=80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362325"/>
          <a:ext cx="5969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600075</xdr:colOff>
      <xdr:row>151</xdr:row>
      <xdr:rowOff>63500</xdr:rowOff>
    </xdr:to>
    <xdr:sp macro="" textlink="">
      <xdr:nvSpPr>
        <xdr:cNvPr id="21" name="AutoShape 1" descr="http://docs.google.com/?pid=gmail&amp;thid=1247e0c94d6fa5f8&amp;attid=0.1&amp;url=http%3A%2F%2Fmail.google.com%2Fmail%2F%3Fui%3D2%26ik%3D81a5c515d2%26view%3Datt%26th%3D1247e0c94d6fa5f8%26attid%3D0.1%26disp%3Dattd%26zw&amp;docid=07eb6d81a4f4266fde7e345fad2460da%7Cc91c5d5233b04bec8db213b9fc42ba3a&amp;a=bi&amp;pagenumber=1&amp;w=80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362325"/>
          <a:ext cx="5969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600075</xdr:colOff>
      <xdr:row>151</xdr:row>
      <xdr:rowOff>44450</xdr:rowOff>
    </xdr:to>
    <xdr:sp macro="" textlink="">
      <xdr:nvSpPr>
        <xdr:cNvPr id="22" name="AutoShape 1" descr="http://docs.google.com/?pid=gmail&amp;thid=1247e0c94d6fa5f8&amp;attid=0.1&amp;url=http%3A%2F%2Fmail.google.com%2Fmail%2F%3Fui%3D2%26ik%3D81a5c515d2%26view%3Datt%26th%3D1247e0c94d6fa5f8%26attid%3D0.1%26disp%3Dattd%26zw&amp;docid=07eb6d81a4f4266fde7e345fad2460da%7Cc91c5d5233b04bec8db213b9fc42ba3a&amp;a=bi&amp;pagenumber=1&amp;w=800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362325"/>
          <a:ext cx="5969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571500</xdr:colOff>
      <xdr:row>151</xdr:row>
      <xdr:rowOff>63500</xdr:rowOff>
    </xdr:to>
    <xdr:sp macro="" textlink="">
      <xdr:nvSpPr>
        <xdr:cNvPr id="17" name="AutoShape 1" descr="http://docs.google.com/?pid=gmail&amp;thid=1247e0c94d6fa5f8&amp;attid=0.1&amp;url=http%3A%2F%2Fmail.google.com%2Fmail%2F%3Fui%3D2%26ik%3D81a5c515d2%26view%3Datt%26th%3D1247e0c94d6fa5f8%26attid%3D0.1%26disp%3Dattd%26zw&amp;docid=07eb6d81a4f4266fde7e345fad2460da%7Cc91c5d5233b04bec8db213b9fc42ba3a&amp;a=bi&amp;pagenumber=1&amp;w=800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1763375"/>
          <a:ext cx="5715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571500</xdr:colOff>
      <xdr:row>151</xdr:row>
      <xdr:rowOff>63500</xdr:rowOff>
    </xdr:to>
    <xdr:sp macro="" textlink="">
      <xdr:nvSpPr>
        <xdr:cNvPr id="18" name="AutoShape 1" descr="http://docs.google.com/?pid=gmail&amp;thid=1247e0c94d6fa5f8&amp;attid=0.1&amp;url=http%3A%2F%2Fmail.google.com%2Fmail%2F%3Fui%3D2%26ik%3D81a5c515d2%26view%3Datt%26th%3D1247e0c94d6fa5f8%26attid%3D0.1%26disp%3Dattd%26zw&amp;docid=07eb6d81a4f4266fde7e345fad2460da%7Cc91c5d5233b04bec8db213b9fc42ba3a&amp;a=bi&amp;pagenumber=1&amp;w=800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1763375"/>
          <a:ext cx="5715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5</xdr:col>
      <xdr:colOff>142875</xdr:colOff>
      <xdr:row>150</xdr:row>
      <xdr:rowOff>0</xdr:rowOff>
    </xdr:from>
    <xdr:to>
      <xdr:col>5</xdr:col>
      <xdr:colOff>711200</xdr:colOff>
      <xdr:row>151</xdr:row>
      <xdr:rowOff>44450</xdr:rowOff>
    </xdr:to>
    <xdr:sp macro="" textlink="">
      <xdr:nvSpPr>
        <xdr:cNvPr id="19" name="AutoShape 1" descr="http://docs.google.com/?pid=gmail&amp;thid=1247e0c94d6fa5f8&amp;attid=0.1&amp;url=http%3A%2F%2Fmail.google.com%2Fmail%2F%3Fui%3D2%26ik%3D81a5c515d2%26view%3Datt%26th%3D1247e0c94d6fa5f8%26attid%3D0.1%26disp%3Dattd%26zw&amp;docid=07eb6d81a4f4266fde7e345fad2460da%7Cc91c5d5233b04bec8db213b9fc42ba3a&amp;a=bi&amp;pagenumber=1&amp;w=800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7143750" y="11763375"/>
          <a:ext cx="5715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571500</xdr:colOff>
      <xdr:row>151</xdr:row>
      <xdr:rowOff>63500</xdr:rowOff>
    </xdr:to>
    <xdr:sp macro="" textlink="">
      <xdr:nvSpPr>
        <xdr:cNvPr id="23" name="AutoShape 1" descr="http://docs.google.com/?pid=gmail&amp;thid=1247e0c94d6fa5f8&amp;attid=0.1&amp;url=http%3A%2F%2Fmail.google.com%2Fmail%2F%3Fui%3D2%26ik%3D81a5c515d2%26view%3Datt%26th%3D1247e0c94d6fa5f8%26attid%3D0.1%26disp%3Dattd%26zw&amp;docid=07eb6d81a4f4266fde7e345fad2460da%7Cc91c5d5233b04bec8db213b9fc42ba3a&amp;a=bi&amp;pagenumber=1&amp;w=800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1563350"/>
          <a:ext cx="5715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571500</xdr:colOff>
      <xdr:row>151</xdr:row>
      <xdr:rowOff>63500</xdr:rowOff>
    </xdr:to>
    <xdr:sp macro="" textlink="">
      <xdr:nvSpPr>
        <xdr:cNvPr id="24" name="AutoShape 1" descr="http://docs.google.com/?pid=gmail&amp;thid=1247e0c94d6fa5f8&amp;attid=0.1&amp;url=http%3A%2F%2Fmail.google.com%2Fmail%2F%3Fui%3D2%26ik%3D81a5c515d2%26view%3Datt%26th%3D1247e0c94d6fa5f8%26attid%3D0.1%26disp%3Dattd%26zw&amp;docid=07eb6d81a4f4266fde7e345fad2460da%7Cc91c5d5233b04bec8db213b9fc42ba3a&amp;a=bi&amp;pagenumber=1&amp;w=800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1563350"/>
          <a:ext cx="5715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 McMains" refreshedDate="46106.660782754632" createdVersion="7" refreshedVersion="8" minRefreshableVersion="3" recordCount="177" xr:uid="{00000000-000A-0000-FFFF-FFFF00000000}">
  <cacheSource type="worksheet">
    <worksheetSource ref="A2:M150" sheet="Census"/>
  </cacheSource>
  <cacheFields count="13">
    <cacheField name="Employee  Name" numFmtId="0">
      <sharedItems/>
    </cacheField>
    <cacheField name="Last" numFmtId="0">
      <sharedItems/>
    </cacheField>
    <cacheField name="Coverage Level" numFmtId="0">
      <sharedItems containsBlank="1"/>
    </cacheField>
    <cacheField name="Gender" numFmtId="14">
      <sharedItems/>
    </cacheField>
    <cacheField name="DOB" numFmtId="14">
      <sharedItems containsSemiMixedTypes="0" containsNonDate="0" containsDate="1" containsString="0" minDate="1942-08-10T00:00:00" maxDate="2025-10-16T00:00:00"/>
    </cacheField>
    <cacheField name="ZIP CODE" numFmtId="1">
      <sharedItems containsBlank="1" containsMixedTypes="1" containsNumber="1" containsInteger="1" minValue="32901" maxValue="33449"/>
    </cacheField>
    <cacheField name="Home State" numFmtId="0">
      <sharedItems containsNonDate="0" containsString="0" containsBlank="1"/>
    </cacheField>
    <cacheField name="Job Title" numFmtId="0">
      <sharedItems containsBlank="1"/>
    </cacheField>
    <cacheField name="W/C Code" numFmtId="49">
      <sharedItems containsNonDate="0" containsString="0" containsBlank="1" containsNumber="1" containsInteger="1" minValue="1" maxValue="9082" count="26">
        <m/>
        <n v="8810" u="1"/>
        <n v="5301" u="1"/>
        <n v="953" u="1"/>
        <n v="3401" u="1"/>
        <n v="8018" u="1"/>
        <n v="8742" u="1"/>
        <n v="9082" u="1"/>
        <n v="7380" u="1"/>
        <n v="9071" u="1"/>
        <n v="8803" u="1"/>
        <n v="8859" u="1"/>
        <n v="5302" u="1"/>
        <n v="951" u="1"/>
        <n v="8601" u="1"/>
        <n v="8871" u="1"/>
        <n v="8809" u="1"/>
        <n v="9015" u="1"/>
        <n v="8832" u="1"/>
        <n v="8032" u="1"/>
        <n v="9079" u="1"/>
        <n v="1" u="1"/>
        <n v="4512" u="1"/>
        <n v="9012" u="1"/>
        <n v="5191" u="1"/>
        <n v="8107" u="1"/>
      </sharedItems>
    </cacheField>
    <cacheField name="W/C State" numFmtId="0">
      <sharedItems containsNonDate="0" containsBlank="1" count="51">
        <m/>
        <s v="NY" u="1"/>
        <s v="MD" u="1"/>
        <s v="MA" u="1"/>
        <s v="CA" u="1"/>
        <s v="VA" u="1"/>
        <s v="DC" u="1"/>
        <s v="ME" u="1"/>
        <s v="FL" u="1"/>
        <s v="KY" u="1"/>
        <s v="TX" u="1"/>
        <s v="OH" u="1"/>
        <s v="IL" u="1"/>
        <s v="IN" u="1"/>
        <s v="WA" u="1"/>
        <s v="NC" u="1"/>
        <s v="NM" u="1"/>
        <s v="DE" u="1"/>
        <s v="PA" u="1"/>
        <s v="NV" u="1"/>
        <s v="NJ" u="1"/>
        <s v="UT" u="1"/>
        <s v="WI" u="1"/>
        <s v="CO" u="1"/>
        <s v="GA" u="1"/>
        <s v="NH" u="1"/>
        <s v=" " u="1"/>
        <s v="ID" u="1"/>
        <s v="OR" u="1"/>
        <s v="MI" u="1"/>
        <s v="GA " u="1"/>
        <s v="TN" u="1"/>
        <s v="LA" u="1"/>
        <s v="CT" u="1"/>
        <s v="MN" u="1"/>
        <s v="MO" u="1"/>
        <s v="SC" u="1"/>
        <s v="VT" u="1"/>
        <s v="WY" u="1"/>
        <s v="New Jersey" u="1"/>
        <s v="AR" u="1"/>
        <s v="AZ" u="1"/>
        <s v="HI" u="1"/>
        <s v="OK" u="1"/>
        <s v="AK" u="1"/>
        <s v="New York" u="1"/>
        <s v="RI" u="1"/>
        <s v="Arkansas" u="1"/>
        <s v="IA" u="1"/>
        <s v="MS" u="1"/>
        <s v="California" u="1"/>
      </sharedItems>
    </cacheField>
    <cacheField name="Healthcare" numFmtId="0">
      <sharedItems containsBlank="1"/>
    </cacheField>
    <cacheField name="F/T or P/T" numFmtId="0">
      <sharedItems containsNonDate="0" containsString="0" containsBlank="1"/>
    </cacheField>
    <cacheField name="Annual Pay " numFmtId="164">
      <sharedItems containsString="0" containsBlank="1" containsNumber="1" minValue="0" maxValue="5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">
  <r>
    <s v="Ellen"/>
    <s v="Altenburg"/>
    <s v="F"/>
    <s v="F"/>
    <d v="1964-01-12T00:00:00"/>
    <s v="32934-8543"/>
    <m/>
    <m/>
    <x v="0"/>
    <x v="0"/>
    <s v="2025/2026 Curative Medical"/>
    <m/>
    <n v="149999.98000000001"/>
  </r>
  <r>
    <s v="Leann"/>
    <s v="Steiner"/>
    <m/>
    <s v="F"/>
    <d v="1963-05-07T00:00:00"/>
    <m/>
    <m/>
    <s v="Spouse"/>
    <x v="0"/>
    <x v="0"/>
    <m/>
    <m/>
    <m/>
  </r>
  <r>
    <s v="Thomas"/>
    <s v="Altenburg"/>
    <m/>
    <s v="M"/>
    <d v="2003-05-29T00:00:00"/>
    <m/>
    <m/>
    <s v="Child"/>
    <x v="0"/>
    <x v="0"/>
    <m/>
    <m/>
    <m/>
  </r>
  <r>
    <s v="Sean"/>
    <s v="Altenburg"/>
    <m/>
    <s v="M"/>
    <d v="2000-10-13T00:00:00"/>
    <m/>
    <m/>
    <s v="Child"/>
    <x v="0"/>
    <x v="0"/>
    <m/>
    <m/>
    <m/>
  </r>
  <r>
    <s v="Digna"/>
    <s v="Baez"/>
    <s v="E"/>
    <s v="F"/>
    <d v="1974-10-12T00:00:00"/>
    <n v="32907"/>
    <m/>
    <m/>
    <x v="0"/>
    <x v="0"/>
    <s v="2025/2026 Curative Medical"/>
    <m/>
    <n v="52000"/>
  </r>
  <r>
    <s v="Raz"/>
    <s v="Barzilay"/>
    <m/>
    <s v="M"/>
    <d v="2001-09-05T00:00:00"/>
    <s v="32955-6409"/>
    <m/>
    <m/>
    <x v="0"/>
    <x v="0"/>
    <m/>
    <m/>
    <n v="38480"/>
  </r>
  <r>
    <s v="Miltiyia"/>
    <s v="Blain"/>
    <s v="C"/>
    <s v="F"/>
    <d v="1992-07-28T00:00:00"/>
    <s v="32909-1407"/>
    <m/>
    <m/>
    <x v="0"/>
    <x v="0"/>
    <s v="2025/2026 Curative Medical"/>
    <m/>
    <n v="120000"/>
  </r>
  <r>
    <s v="Shiann"/>
    <s v="Jackson"/>
    <m/>
    <s v="F"/>
    <d v="2011-08-29T00:00:00"/>
    <m/>
    <m/>
    <s v="Child"/>
    <x v="0"/>
    <x v="0"/>
    <m/>
    <m/>
    <m/>
  </r>
  <r>
    <s v="Havauri"/>
    <s v="Spivey"/>
    <m/>
    <s v="M"/>
    <d v="2007-11-17T00:00:00"/>
    <m/>
    <m/>
    <s v="Child"/>
    <x v="0"/>
    <x v="0"/>
    <m/>
    <m/>
    <m/>
  </r>
  <r>
    <s v="Mark"/>
    <s v="Bobango"/>
    <s v="E"/>
    <s v="M"/>
    <d v="1964-07-05T00:00:00"/>
    <s v="32922-7742"/>
    <m/>
    <m/>
    <x v="0"/>
    <x v="0"/>
    <s v="2025/2026 Curative Medical"/>
    <m/>
    <n v="149999.98000000001"/>
  </r>
  <r>
    <s v="Donna"/>
    <s v="Bradley-Page"/>
    <s v="E"/>
    <s v="F"/>
    <d v="1966-04-26T00:00:00"/>
    <n v="32935"/>
    <m/>
    <m/>
    <x v="0"/>
    <x v="0"/>
    <s v="2025/2026 Curative Medical"/>
    <m/>
    <n v="37960"/>
  </r>
  <r>
    <s v="Robert"/>
    <s v="Brennan"/>
    <s v="E"/>
    <s v="M"/>
    <d v="1964-03-08T00:00:00"/>
    <s v="32937-2387"/>
    <m/>
    <m/>
    <x v="0"/>
    <x v="0"/>
    <s v="2025/2026 Curative Medical"/>
    <m/>
    <n v="400000"/>
  </r>
  <r>
    <s v="Ryan"/>
    <s v="Brown"/>
    <s v="E"/>
    <s v="M"/>
    <d v="1976-05-21T00:00:00"/>
    <s v="32949-8281"/>
    <m/>
    <m/>
    <x v="0"/>
    <x v="0"/>
    <s v="2025/2026 Curative Medical"/>
    <m/>
    <n v="47840"/>
  </r>
  <r>
    <s v="Carol"/>
    <s v="Bullard"/>
    <s v="E"/>
    <s v="F"/>
    <d v="1949-12-27T00:00:00"/>
    <n v="32905"/>
    <m/>
    <m/>
    <x v="0"/>
    <x v="0"/>
    <s v="2025/2026 Curative Medical"/>
    <m/>
    <n v="26000"/>
  </r>
  <r>
    <s v="Jennifer"/>
    <s v="Burn"/>
    <m/>
    <s v="F"/>
    <d v="1962-03-08T00:00:00"/>
    <s v="32901-7821"/>
    <m/>
    <m/>
    <x v="0"/>
    <x v="0"/>
    <m/>
    <m/>
    <n v="65000"/>
  </r>
  <r>
    <s v="Gregory"/>
    <s v="Caputo"/>
    <s v="C"/>
    <s v="M"/>
    <d v="1967-12-04T00:00:00"/>
    <s v="32937-4172"/>
    <m/>
    <m/>
    <x v="0"/>
    <x v="0"/>
    <s v="2025/2026 Curative Medical"/>
    <m/>
    <n v="87360"/>
  </r>
  <r>
    <s v="Garrett"/>
    <s v="Caputo"/>
    <m/>
    <s v="M"/>
    <d v="2014-07-03T00:00:00"/>
    <m/>
    <m/>
    <s v="Child"/>
    <x v="0"/>
    <x v="0"/>
    <m/>
    <m/>
    <m/>
  </r>
  <r>
    <s v="Meghan"/>
    <s v="Cato"/>
    <s v="E"/>
    <s v="F"/>
    <d v="1991-11-23T00:00:00"/>
    <s v="32907-3036"/>
    <m/>
    <m/>
    <x v="0"/>
    <x v="0"/>
    <s v="2025/2026 Curative Medical"/>
    <m/>
    <n v="39520"/>
  </r>
  <r>
    <s v="Elisida"/>
    <s v="Chardon"/>
    <m/>
    <s v="F"/>
    <d v="1993-03-02T00:00:00"/>
    <s v="32935-8875"/>
    <m/>
    <m/>
    <x v="0"/>
    <x v="0"/>
    <m/>
    <m/>
    <n v="35360"/>
  </r>
  <r>
    <s v="Madhavi"/>
    <s v="Chary"/>
    <m/>
    <s v="F"/>
    <d v="1970-01-04T00:00:00"/>
    <s v="32940-2159"/>
    <m/>
    <m/>
    <x v="0"/>
    <x v="0"/>
    <m/>
    <m/>
    <n v="220000"/>
  </r>
  <r>
    <s v="April"/>
    <s v="Childs"/>
    <m/>
    <s v="F"/>
    <d v="1974-04-14T00:00:00"/>
    <n v="32901"/>
    <m/>
    <m/>
    <x v="0"/>
    <x v="0"/>
    <m/>
    <m/>
    <n v="29328"/>
  </r>
  <r>
    <s v="Tenesha"/>
    <s v="Clark"/>
    <m/>
    <s v="F"/>
    <d v="1992-11-29T00:00:00"/>
    <s v="32905-7614"/>
    <m/>
    <m/>
    <x v="0"/>
    <x v="0"/>
    <m/>
    <m/>
    <n v="36400"/>
  </r>
  <r>
    <s v="Nicole"/>
    <s v="Cochran"/>
    <s v="E"/>
    <s v="F"/>
    <d v="1973-12-29T00:00:00"/>
    <s v="32904-6725"/>
    <m/>
    <m/>
    <x v="0"/>
    <x v="0"/>
    <s v="2025/2026 Curative Medical"/>
    <m/>
    <n v="39000"/>
  </r>
  <r>
    <s v="Maria"/>
    <s v="Collazo"/>
    <s v="E"/>
    <s v="F"/>
    <d v="1979-06-04T00:00:00"/>
    <s v="32955-6588"/>
    <m/>
    <m/>
    <x v="0"/>
    <x v="0"/>
    <s v="2025/2026 Curative Medical"/>
    <m/>
    <n v="43680"/>
  </r>
  <r>
    <s v="Brian"/>
    <s v="Costleigh"/>
    <s v="S"/>
    <s v="M"/>
    <d v="1962-12-24T00:00:00"/>
    <s v="32931-2422"/>
    <m/>
    <m/>
    <x v="0"/>
    <x v="0"/>
    <s v="2025/2026 Curative Medical"/>
    <m/>
    <n v="500000"/>
  </r>
  <r>
    <s v="Rene"/>
    <s v="Costleigh"/>
    <m/>
    <s v="F"/>
    <d v="1961-04-23T00:00:00"/>
    <m/>
    <m/>
    <s v="Spouse"/>
    <x v="0"/>
    <x v="0"/>
    <m/>
    <m/>
    <m/>
  </r>
  <r>
    <s v="Bruce"/>
    <s v="Cotti"/>
    <m/>
    <s v="M"/>
    <d v="1954-04-17T00:00:00"/>
    <s v="32950-6816"/>
    <m/>
    <m/>
    <x v="0"/>
    <x v="0"/>
    <m/>
    <m/>
    <n v="97489.600000000006"/>
  </r>
  <r>
    <s v="Tammy"/>
    <s v="Creel"/>
    <s v="E"/>
    <s v="F"/>
    <d v="1981-05-04T00:00:00"/>
    <s v="32950-6906"/>
    <m/>
    <m/>
    <x v="0"/>
    <x v="0"/>
    <s v="2025/2026 Curative Medical"/>
    <m/>
    <n v="35360"/>
  </r>
  <r>
    <s v="Pamela"/>
    <s v="Crinion"/>
    <s v="E"/>
    <s v="F"/>
    <d v="1959-07-20T00:00:00"/>
    <n v="32934"/>
    <m/>
    <m/>
    <x v="0"/>
    <x v="0"/>
    <s v="2025/2026 Curative Medical"/>
    <m/>
    <n v="65520"/>
  </r>
  <r>
    <s v="Linda"/>
    <s v="D'Angelo"/>
    <m/>
    <s v="F"/>
    <d v="1949-01-30T00:00:00"/>
    <s v="32976-2406"/>
    <m/>
    <m/>
    <x v="0"/>
    <x v="0"/>
    <m/>
    <m/>
    <n v="36400"/>
  </r>
  <r>
    <s v="Deanna"/>
    <s v="Dacosta"/>
    <m/>
    <s v="F"/>
    <d v="1993-05-05T00:00:00"/>
    <s v="32905-5714"/>
    <m/>
    <m/>
    <x v="0"/>
    <x v="0"/>
    <m/>
    <m/>
    <n v="17680"/>
  </r>
  <r>
    <s v="Jasmin"/>
    <s v="Delarosa"/>
    <s v="E"/>
    <s v="F"/>
    <d v="1987-10-20T00:00:00"/>
    <s v="32907-2216"/>
    <m/>
    <m/>
    <x v="0"/>
    <x v="0"/>
    <s v="2025/2026 Curative Medical"/>
    <m/>
    <n v="31200"/>
  </r>
  <r>
    <s v="Craig"/>
    <s v="Deligdish"/>
    <s v="E"/>
    <s v="M"/>
    <d v="1956-05-23T00:00:00"/>
    <s v="32903-4711"/>
    <m/>
    <m/>
    <x v="0"/>
    <x v="0"/>
    <s v="2025/2026 Curative Medical"/>
    <m/>
    <n v="52000"/>
  </r>
  <r>
    <s v="Robert"/>
    <s v="Doyle"/>
    <m/>
    <s v="M"/>
    <d v="2000-04-11T00:00:00"/>
    <s v="32935-3929"/>
    <m/>
    <m/>
    <x v="0"/>
    <x v="0"/>
    <m/>
    <m/>
    <n v="38480"/>
  </r>
  <r>
    <s v="Rodney"/>
    <s v="Dufault"/>
    <m/>
    <s v="M"/>
    <d v="1959-07-02T00:00:00"/>
    <s v="32940-6988"/>
    <m/>
    <m/>
    <x v="0"/>
    <x v="0"/>
    <m/>
    <m/>
    <n v="79040"/>
  </r>
  <r>
    <s v="Kimberlee"/>
    <s v="Edler"/>
    <s v="C"/>
    <s v="F"/>
    <d v="1982-09-25T00:00:00"/>
    <s v="32909-6569"/>
    <m/>
    <m/>
    <x v="0"/>
    <x v="0"/>
    <s v="2025/2026 Curative Medical"/>
    <m/>
    <n v="37440"/>
  </r>
  <r>
    <s v="Connor"/>
    <s v="Edler"/>
    <m/>
    <s v="M"/>
    <d v="2004-12-02T00:00:00"/>
    <m/>
    <m/>
    <s v="Child"/>
    <x v="0"/>
    <x v="0"/>
    <m/>
    <m/>
    <m/>
  </r>
  <r>
    <s v="Kaitlynn"/>
    <s v="Edler"/>
    <m/>
    <s v="F"/>
    <d v="2018-03-15T00:00:00"/>
    <m/>
    <m/>
    <s v="Child"/>
    <x v="0"/>
    <x v="0"/>
    <m/>
    <m/>
    <m/>
  </r>
  <r>
    <s v="Sheila"/>
    <s v="Estrella-Marsh"/>
    <s v="C"/>
    <s v="F"/>
    <d v="1973-02-28T00:00:00"/>
    <s v="32901-7711"/>
    <m/>
    <m/>
    <x v="0"/>
    <x v="0"/>
    <s v="2025/2026 Curative Medical"/>
    <m/>
    <n v="70000"/>
  </r>
  <r>
    <s v="Arel"/>
    <s v="Marsh"/>
    <m/>
    <s v="M"/>
    <d v="2004-03-29T00:00:00"/>
    <m/>
    <m/>
    <s v="Child"/>
    <x v="0"/>
    <x v="0"/>
    <m/>
    <m/>
    <m/>
  </r>
  <r>
    <s v="Aren"/>
    <s v="Marsh"/>
    <m/>
    <s v="M"/>
    <d v="2006-08-10T00:00:00"/>
    <m/>
    <m/>
    <s v="Child"/>
    <x v="0"/>
    <x v="0"/>
    <m/>
    <m/>
    <m/>
  </r>
  <r>
    <s v="Edgar"/>
    <s v="Figueroa"/>
    <s v="E"/>
    <s v="M"/>
    <d v="1956-02-12T00:00:00"/>
    <s v="32940-1845"/>
    <m/>
    <m/>
    <x v="0"/>
    <x v="0"/>
    <s v="2025/2026 Curative Medical"/>
    <m/>
    <n v="390000"/>
  </r>
  <r>
    <s v="Kayla"/>
    <s v="Fleck"/>
    <m/>
    <s v="F"/>
    <d v="2001-09-14T00:00:00"/>
    <s v="32907-1026"/>
    <m/>
    <m/>
    <x v="0"/>
    <x v="0"/>
    <m/>
    <m/>
    <n v="35360"/>
  </r>
  <r>
    <s v="Petra"/>
    <s v="Flick-Trevino"/>
    <s v="E"/>
    <s v="F"/>
    <d v="1962-02-21T00:00:00"/>
    <s v="32935-6612"/>
    <m/>
    <m/>
    <x v="0"/>
    <x v="0"/>
    <s v="2025/2026 Curative Medical"/>
    <m/>
    <n v="89440"/>
  </r>
  <r>
    <s v="Jacob"/>
    <s v="Franklin"/>
    <s v="E"/>
    <s v="M"/>
    <d v="1974-12-29T00:00:00"/>
    <s v="30223-6326"/>
    <m/>
    <m/>
    <x v="0"/>
    <x v="0"/>
    <s v="2025/2026 Curative Medical"/>
    <m/>
    <n v="26000"/>
  </r>
  <r>
    <s v="Norma"/>
    <s v="Geer"/>
    <m/>
    <s v="F"/>
    <d v="1962-04-18T00:00:00"/>
    <s v="32904-5752"/>
    <m/>
    <m/>
    <x v="0"/>
    <x v="0"/>
    <m/>
    <m/>
    <n v="35360"/>
  </r>
  <r>
    <s v="April"/>
    <s v="Glasgow"/>
    <s v="E"/>
    <s v="F"/>
    <d v="1978-04-03T00:00:00"/>
    <s v="32908-6864"/>
    <m/>
    <m/>
    <x v="0"/>
    <x v="0"/>
    <s v="2025/2026 Curative Medical"/>
    <m/>
    <n v="34840"/>
  </r>
  <r>
    <s v="Teona"/>
    <s v="Godwin"/>
    <s v="E"/>
    <s v="F"/>
    <d v="2004-11-02T00:00:00"/>
    <s v="32909-3784"/>
    <m/>
    <m/>
    <x v="0"/>
    <x v="0"/>
    <s v="2025/2026 Curative Medical"/>
    <m/>
    <n v="36400"/>
  </r>
  <r>
    <s v="Veronica"/>
    <s v="Gonzalez"/>
    <m/>
    <s v="F"/>
    <d v="1977-09-23T00:00:00"/>
    <s v="32907-8223"/>
    <m/>
    <m/>
    <x v="0"/>
    <x v="0"/>
    <m/>
    <m/>
    <n v="33280"/>
  </r>
  <r>
    <s v="Tauchon"/>
    <s v="Griffin"/>
    <m/>
    <s v="F"/>
    <d v="1993-05-22T00:00:00"/>
    <s v="32955-2327"/>
    <m/>
    <m/>
    <x v="0"/>
    <x v="0"/>
    <m/>
    <m/>
    <n v="37440"/>
  </r>
  <r>
    <s v="Brionna"/>
    <s v="Guilford"/>
    <m/>
    <s v="F"/>
    <d v="1994-10-16T00:00:00"/>
    <s v="32955-6806"/>
    <m/>
    <m/>
    <x v="0"/>
    <x v="0"/>
    <m/>
    <m/>
    <n v="24960"/>
  </r>
  <r>
    <s v="Edwin"/>
    <s v="Hall"/>
    <s v="E"/>
    <s v="M"/>
    <d v="1962-07-31T00:00:00"/>
    <s v="32935-2924"/>
    <m/>
    <m/>
    <x v="0"/>
    <x v="0"/>
    <s v="2025/2026 Curative Medical"/>
    <m/>
    <n v="71500"/>
  </r>
  <r>
    <s v="Lismarie"/>
    <s v="Hamilton"/>
    <m/>
    <s v="F"/>
    <d v="1998-02-16T00:00:00"/>
    <s v="32908-7562"/>
    <m/>
    <m/>
    <x v="0"/>
    <x v="0"/>
    <m/>
    <m/>
    <n v="35360"/>
  </r>
  <r>
    <s v="Carolyne"/>
    <s v="Hill"/>
    <s v="E"/>
    <s v="F"/>
    <d v="1967-01-25T00:00:00"/>
    <n v="32909"/>
    <m/>
    <m/>
    <x v="0"/>
    <x v="0"/>
    <s v="2025/2026 Curative Medical"/>
    <m/>
    <n v="35360"/>
  </r>
  <r>
    <s v="Sherry"/>
    <s v="Hollenbeck"/>
    <m/>
    <s v="F"/>
    <d v="1957-05-12T00:00:00"/>
    <s v="32958-6260"/>
    <m/>
    <m/>
    <x v="0"/>
    <x v="0"/>
    <m/>
    <m/>
    <n v="99840"/>
  </r>
  <r>
    <s v="Christopher"/>
    <s v="Johnson"/>
    <s v="E"/>
    <s v="M"/>
    <d v="1997-07-30T00:00:00"/>
    <s v="37087-0454"/>
    <m/>
    <m/>
    <x v="0"/>
    <x v="0"/>
    <s v="2025/2026 Curative Medical"/>
    <m/>
    <n v="31200"/>
  </r>
  <r>
    <s v="Misty"/>
    <s v="Jones"/>
    <s v="E"/>
    <s v="F"/>
    <d v="1970-03-07T00:00:00"/>
    <s v="32901-6948"/>
    <m/>
    <m/>
    <x v="0"/>
    <x v="0"/>
    <s v="2025/2026 Curative Medical"/>
    <m/>
    <n v="44720"/>
  </r>
  <r>
    <s v="Shuttera"/>
    <s v="Jones"/>
    <s v="E"/>
    <s v="F"/>
    <d v="2000-03-24T00:00:00"/>
    <s v="32955-6685"/>
    <m/>
    <m/>
    <x v="0"/>
    <x v="0"/>
    <s v="2025/2026 Curative Medical"/>
    <m/>
    <n v="40560"/>
  </r>
  <r>
    <s v="Cassondra"/>
    <s v="Kennedy"/>
    <s v="E"/>
    <s v="F"/>
    <d v="1992-01-06T00:00:00"/>
    <s v="32907-5955"/>
    <m/>
    <m/>
    <x v="0"/>
    <x v="0"/>
    <s v="2025/2026 Curative Medical"/>
    <m/>
    <n v="37440"/>
  </r>
  <r>
    <s v="Mohsen"/>
    <s v="Kheradpezhouh"/>
    <s v="F"/>
    <s v="M"/>
    <d v="1970-08-31T00:00:00"/>
    <s v="32952-4100"/>
    <m/>
    <m/>
    <x v="0"/>
    <x v="0"/>
    <s v="2025/2026 Curative Medical"/>
    <m/>
    <n v="225000"/>
  </r>
  <r>
    <s v="Gezel"/>
    <s v="Saheli"/>
    <m/>
    <s v="F"/>
    <d v="1980-09-22T00:00:00"/>
    <m/>
    <m/>
    <s v="Spouse"/>
    <x v="0"/>
    <x v="0"/>
    <m/>
    <m/>
    <m/>
  </r>
  <r>
    <s v="Kian"/>
    <s v="Kherad"/>
    <m/>
    <s v="M"/>
    <d v="2018-12-06T00:00:00"/>
    <m/>
    <m/>
    <s v="Child"/>
    <x v="0"/>
    <x v="0"/>
    <m/>
    <m/>
    <m/>
  </r>
  <r>
    <s v="Koosha"/>
    <s v="Kherad"/>
    <m/>
    <s v="M"/>
    <d v="2010-10-12T00:00:00"/>
    <m/>
    <m/>
    <s v="Child"/>
    <x v="0"/>
    <x v="0"/>
    <m/>
    <m/>
    <m/>
  </r>
  <r>
    <s v="Kelly"/>
    <s v="LaCost"/>
    <s v="E"/>
    <s v="F"/>
    <d v="1982-01-14T00:00:00"/>
    <s v="32935-2076"/>
    <m/>
    <m/>
    <x v="0"/>
    <x v="0"/>
    <s v="2025/2026 Curative Medical"/>
    <m/>
    <n v="33280"/>
  </r>
  <r>
    <s v="Darbe"/>
    <s v="LaForte"/>
    <m/>
    <s v="F"/>
    <d v="1978-02-18T00:00:00"/>
    <s v="32905-4010"/>
    <m/>
    <m/>
    <x v="0"/>
    <x v="0"/>
    <m/>
    <m/>
    <n v="29120"/>
  </r>
  <r>
    <s v="Jnaya"/>
    <s v="Lalta"/>
    <m/>
    <s v="F"/>
    <d v="2002-02-08T00:00:00"/>
    <s v="32905-7535"/>
    <m/>
    <m/>
    <x v="0"/>
    <x v="0"/>
    <m/>
    <m/>
    <n v="33280"/>
  </r>
  <r>
    <s v="Ian"/>
    <s v="Landis"/>
    <m/>
    <s v="M"/>
    <d v="1942-08-10T00:00:00"/>
    <s v="32967-7641"/>
    <m/>
    <m/>
    <x v="0"/>
    <x v="0"/>
    <m/>
    <m/>
    <n v="130000"/>
  </r>
  <r>
    <s v="Kiara"/>
    <s v="Lanzetta"/>
    <m/>
    <s v="F"/>
    <d v="1999-03-10T00:00:00"/>
    <s v="32934-8750"/>
    <m/>
    <m/>
    <x v="0"/>
    <x v="0"/>
    <m/>
    <m/>
    <n v="34320"/>
  </r>
  <r>
    <s v="Jodi"/>
    <s v="Larsen"/>
    <m/>
    <s v="F"/>
    <d v="1966-12-11T00:00:00"/>
    <s v="32904-2035"/>
    <m/>
    <m/>
    <x v="0"/>
    <x v="0"/>
    <m/>
    <m/>
    <n v="135200"/>
  </r>
  <r>
    <s v="Ava"/>
    <s v="Lee"/>
    <m/>
    <s v="F"/>
    <d v="1953-12-27T00:00:00"/>
    <s v="32905-4909"/>
    <m/>
    <m/>
    <x v="0"/>
    <x v="0"/>
    <m/>
    <m/>
    <n v="37024"/>
  </r>
  <r>
    <s v="Lisa"/>
    <s v="Leggett"/>
    <m/>
    <s v="F"/>
    <d v="1964-06-09T00:00:00"/>
    <n v="32907"/>
    <m/>
    <m/>
    <x v="0"/>
    <x v="0"/>
    <m/>
    <m/>
    <n v="43680"/>
  </r>
  <r>
    <s v="Amanda"/>
    <s v="Lillis"/>
    <m/>
    <s v="F"/>
    <d v="1988-01-19T00:00:00"/>
    <s v="32907-2727"/>
    <m/>
    <m/>
    <x v="0"/>
    <x v="0"/>
    <m/>
    <m/>
    <n v="36920"/>
  </r>
  <r>
    <s v="Lillieth"/>
    <s v="Lindsay"/>
    <m/>
    <s v="F"/>
    <d v="1954-10-22T00:00:00"/>
    <n v="32909"/>
    <m/>
    <m/>
    <x v="0"/>
    <x v="0"/>
    <m/>
    <m/>
    <n v="36816"/>
  </r>
  <r>
    <s v="Caridad"/>
    <s v="Lopez"/>
    <s v="E"/>
    <s v="F"/>
    <d v="1986-12-03T00:00:00"/>
    <s v="32901-3275"/>
    <m/>
    <m/>
    <x v="0"/>
    <x v="0"/>
    <s v="2025/2026 Curative Medical"/>
    <m/>
    <n v="28080"/>
  </r>
  <r>
    <s v="Roger"/>
    <s v="Marsh"/>
    <s v="E"/>
    <s v="M"/>
    <d v="1968-10-08T00:00:00"/>
    <s v="32901-7711"/>
    <m/>
    <m/>
    <x v="0"/>
    <x v="0"/>
    <s v="2025/2026 Curative Medical"/>
    <m/>
    <n v="0"/>
  </r>
  <r>
    <s v="Maritza"/>
    <s v="Martinez"/>
    <m/>
    <s v="F"/>
    <d v="1956-05-30T00:00:00"/>
    <s v="32931-5070"/>
    <m/>
    <m/>
    <x v="0"/>
    <x v="0"/>
    <m/>
    <m/>
    <n v="249999.88"/>
  </r>
  <r>
    <s v="Suzette"/>
    <s v="Mattes"/>
    <s v="S"/>
    <s v="F"/>
    <d v="1972-12-14T00:00:00"/>
    <n v="32909"/>
    <m/>
    <m/>
    <x v="0"/>
    <x v="0"/>
    <s v="2025/2026 Curative Medical"/>
    <m/>
    <n v="34008"/>
  </r>
  <r>
    <s v="Rita"/>
    <s v="Hicks"/>
    <m/>
    <s v="F"/>
    <d v="1965-06-08T00:00:00"/>
    <m/>
    <m/>
    <s v="Spouse"/>
    <x v="0"/>
    <x v="0"/>
    <m/>
    <m/>
    <m/>
  </r>
  <r>
    <s v="Emoyah"/>
    <s v="Matthew"/>
    <m/>
    <s v="F"/>
    <d v="2005-08-18T00:00:00"/>
    <n v="32904"/>
    <m/>
    <m/>
    <x v="0"/>
    <x v="0"/>
    <m/>
    <m/>
    <n v="36400"/>
  </r>
  <r>
    <s v="Judy"/>
    <s v="Mayor-Davies"/>
    <s v="F"/>
    <s v="F"/>
    <d v="1958-09-26T00:00:00"/>
    <s v="32951-3702"/>
    <m/>
    <m/>
    <x v="0"/>
    <x v="0"/>
    <s v="2025/2026 Curative Medical"/>
    <m/>
    <n v="390000"/>
  </r>
  <r>
    <s v="Louise"/>
    <s v="Menashe"/>
    <m/>
    <s v="F"/>
    <d v="1960-04-29T00:00:00"/>
    <m/>
    <m/>
    <s v="Spouse"/>
    <x v="0"/>
    <x v="0"/>
    <m/>
    <m/>
    <m/>
  </r>
  <r>
    <s v="Joseph"/>
    <s v="Menashe"/>
    <m/>
    <s v="M"/>
    <d v="2004-03-01T00:00:00"/>
    <m/>
    <m/>
    <s v="Child"/>
    <x v="0"/>
    <x v="0"/>
    <m/>
    <m/>
    <m/>
  </r>
  <r>
    <s v="Olivia"/>
    <s v="Menashe"/>
    <m/>
    <s v="F"/>
    <d v="2004-03-01T00:00:00"/>
    <m/>
    <m/>
    <s v="Child"/>
    <x v="0"/>
    <x v="0"/>
    <m/>
    <m/>
    <m/>
  </r>
  <r>
    <s v="Bonnie"/>
    <s v="McCormick"/>
    <m/>
    <s v="F"/>
    <d v="1947-05-15T00:00:00"/>
    <n v="32905"/>
    <m/>
    <m/>
    <x v="0"/>
    <x v="0"/>
    <m/>
    <m/>
    <n v="27040"/>
  </r>
  <r>
    <s v="Kimberley"/>
    <s v="McGrath"/>
    <m/>
    <s v="M"/>
    <d v="1950-02-08T00:00:00"/>
    <n v="32940"/>
    <m/>
    <m/>
    <x v="0"/>
    <x v="0"/>
    <m/>
    <m/>
    <n v="156000"/>
  </r>
  <r>
    <s v="Cinthia"/>
    <s v="Medina"/>
    <m/>
    <s v="F"/>
    <d v="1972-07-18T00:00:00"/>
    <s v="32908-3364"/>
    <m/>
    <m/>
    <x v="0"/>
    <x v="0"/>
    <m/>
    <m/>
    <n v="35360"/>
  </r>
  <r>
    <s v="Yaritza"/>
    <s v="Mejia"/>
    <m/>
    <s v="F"/>
    <d v="1980-06-09T00:00:00"/>
    <s v="32907-8087"/>
    <m/>
    <m/>
    <x v="0"/>
    <x v="0"/>
    <m/>
    <m/>
    <n v="39520"/>
  </r>
  <r>
    <s v="Kayla"/>
    <s v="Miller"/>
    <s v="E"/>
    <s v="F"/>
    <d v="1993-07-30T00:00:00"/>
    <s v="32927-9124"/>
    <m/>
    <m/>
    <x v="0"/>
    <x v="0"/>
    <s v="2025/2026 Curative Medical"/>
    <m/>
    <n v="74880"/>
  </r>
  <r>
    <s v="Regina"/>
    <s v="Miller"/>
    <s v="E"/>
    <s v="F"/>
    <d v="1963-07-19T00:00:00"/>
    <s v="34769-3457"/>
    <m/>
    <m/>
    <x v="0"/>
    <x v="0"/>
    <s v="2025/2026 Curative Medical"/>
    <m/>
    <n v="66560"/>
  </r>
  <r>
    <s v="Katherine"/>
    <s v="Mitchell"/>
    <s v="E"/>
    <s v="F"/>
    <d v="1969-11-04T00:00:00"/>
    <s v="32901-1215"/>
    <m/>
    <m/>
    <x v="0"/>
    <x v="0"/>
    <s v="2025/2026 Curative Medical"/>
    <m/>
    <n v="34320"/>
  </r>
  <r>
    <s v="Jeannette"/>
    <s v="Molina"/>
    <s v="E"/>
    <s v="F"/>
    <d v="1971-02-26T00:00:00"/>
    <s v="32909-8986"/>
    <m/>
    <m/>
    <x v="0"/>
    <x v="0"/>
    <s v="2025/2026 Curative Medical"/>
    <m/>
    <n v="41600"/>
  </r>
  <r>
    <s v="Gioconda"/>
    <s v="Montalvan Mendieta"/>
    <m/>
    <s v="F"/>
    <d v="1985-09-30T00:00:00"/>
    <s v="32907-2450"/>
    <m/>
    <m/>
    <x v="0"/>
    <x v="0"/>
    <m/>
    <m/>
    <n v="40560"/>
  </r>
  <r>
    <s v="Debra"/>
    <s v="Moreno"/>
    <s v="E"/>
    <s v="F"/>
    <d v="1977-06-03T00:00:00"/>
    <s v="32908-3432"/>
    <m/>
    <m/>
    <x v="0"/>
    <x v="0"/>
    <s v="2025/2026 Curative Medical"/>
    <m/>
    <n v="41600"/>
  </r>
  <r>
    <s v="Frederick"/>
    <s v="Niegos"/>
    <s v="F"/>
    <s v="M"/>
    <d v="1970-05-26T00:00:00"/>
    <s v="34484-3578"/>
    <m/>
    <m/>
    <x v="0"/>
    <x v="0"/>
    <s v="2025/2026 Curative Medical"/>
    <m/>
    <n v="260000"/>
  </r>
  <r>
    <s v="Marie Fay"/>
    <s v="Niegos"/>
    <m/>
    <s v="F"/>
    <d v="1976-11-07T00:00:00"/>
    <m/>
    <m/>
    <s v="Spouse"/>
    <x v="0"/>
    <x v="0"/>
    <m/>
    <m/>
    <m/>
  </r>
  <r>
    <s v="Daniel"/>
    <s v="Niegos"/>
    <m/>
    <s v="M"/>
    <d v="2014-12-22T00:00:00"/>
    <m/>
    <m/>
    <s v="Child"/>
    <x v="0"/>
    <x v="0"/>
    <m/>
    <m/>
    <m/>
  </r>
  <r>
    <s v="Isandra"/>
    <s v="Nieves"/>
    <m/>
    <s v="F"/>
    <d v="1993-09-01T00:00:00"/>
    <s v="32905-5933"/>
    <m/>
    <m/>
    <x v="0"/>
    <x v="0"/>
    <m/>
    <m/>
    <n v="34320"/>
  </r>
  <r>
    <s v="Eric"/>
    <s v="Osborn"/>
    <s v="F"/>
    <s v="M"/>
    <d v="1982-07-18T00:00:00"/>
    <s v="32907-2022"/>
    <m/>
    <m/>
    <x v="0"/>
    <x v="0"/>
    <s v="2025/2026 Curative Medical"/>
    <m/>
    <n v="65000"/>
  </r>
  <r>
    <s v="Edzel"/>
    <s v="Bentir"/>
    <m/>
    <s v="M"/>
    <d v="1995-04-07T00:00:00"/>
    <m/>
    <m/>
    <s v="Spouse"/>
    <x v="0"/>
    <x v="0"/>
    <m/>
    <m/>
    <m/>
  </r>
  <r>
    <s v="Noah"/>
    <s v="Osborn"/>
    <m/>
    <s v="M"/>
    <d v="2004-09-23T00:00:00"/>
    <m/>
    <m/>
    <s v="Child"/>
    <x v="0"/>
    <x v="0"/>
    <m/>
    <m/>
    <m/>
  </r>
  <r>
    <s v="Rebekah"/>
    <s v="Osborn"/>
    <m/>
    <s v="F"/>
    <d v="2007-08-13T00:00:00"/>
    <m/>
    <m/>
    <s v="Child"/>
    <x v="0"/>
    <x v="0"/>
    <m/>
    <m/>
    <m/>
  </r>
  <r>
    <s v="Mickie"/>
    <s v="Owens"/>
    <s v="E"/>
    <s v="F"/>
    <d v="1964-06-02T00:00:00"/>
    <n v="32909"/>
    <m/>
    <m/>
    <x v="0"/>
    <x v="0"/>
    <s v="2025/2026 Curative Medical"/>
    <m/>
    <n v="44720"/>
  </r>
  <r>
    <s v="Kristen"/>
    <s v="Paddock"/>
    <s v="E"/>
    <s v="F"/>
    <d v="1995-05-03T00:00:00"/>
    <s v="32940-7633"/>
    <m/>
    <m/>
    <x v="0"/>
    <x v="0"/>
    <s v="2025/2026 Curative Medical"/>
    <m/>
    <n v="35360"/>
  </r>
  <r>
    <s v="Ramona"/>
    <s v="Padilla"/>
    <s v="E"/>
    <s v="F"/>
    <d v="1966-08-30T00:00:00"/>
    <s v="32955-5270"/>
    <m/>
    <m/>
    <x v="0"/>
    <x v="0"/>
    <s v="2025/2026 Curative Medical"/>
    <m/>
    <n v="37440"/>
  </r>
  <r>
    <s v="Robyn"/>
    <s v="Pansulla"/>
    <m/>
    <s v="F"/>
    <d v="1966-12-28T00:00:00"/>
    <s v="32905-4402"/>
    <m/>
    <m/>
    <x v="0"/>
    <x v="0"/>
    <m/>
    <m/>
    <n v="40560"/>
  </r>
  <r>
    <s v="Jenifar"/>
    <s v="Patel"/>
    <m/>
    <s v="F"/>
    <d v="1992-04-26T00:00:00"/>
    <s v="32940-7001"/>
    <m/>
    <m/>
    <x v="0"/>
    <x v="0"/>
    <m/>
    <m/>
    <n v="90000"/>
  </r>
  <r>
    <s v="Smita"/>
    <s v="Patel"/>
    <m/>
    <s v="F"/>
    <d v="1974-09-29T00:00:00"/>
    <n v="32940"/>
    <m/>
    <m/>
    <x v="0"/>
    <x v="0"/>
    <m/>
    <m/>
    <n v="79999.92"/>
  </r>
  <r>
    <s v="Deanna"/>
    <s v="Peltier"/>
    <s v="E"/>
    <s v="F"/>
    <d v="1970-07-13T00:00:00"/>
    <n v="32934"/>
    <m/>
    <m/>
    <x v="0"/>
    <x v="0"/>
    <s v="2025/2026 Curative Medical"/>
    <m/>
    <n v="54080"/>
  </r>
  <r>
    <s v="Mildred"/>
    <s v="Perez"/>
    <m/>
    <s v="F"/>
    <d v="1976-05-30T00:00:00"/>
    <s v="32909-4511"/>
    <m/>
    <m/>
    <x v="0"/>
    <x v="0"/>
    <m/>
    <m/>
    <n v="36400"/>
  </r>
  <r>
    <s v="Regan"/>
    <s v="Pino"/>
    <m/>
    <s v="F"/>
    <d v="1990-07-27T00:00:00"/>
    <s v="32931-3238"/>
    <m/>
    <m/>
    <x v="0"/>
    <x v="0"/>
    <m/>
    <m/>
    <n v="37440"/>
  </r>
  <r>
    <s v="Sandra"/>
    <s v="Pizarro-Lopez"/>
    <s v="F"/>
    <s v="F"/>
    <d v="1977-12-21T00:00:00"/>
    <s v="32940-1887"/>
    <m/>
    <m/>
    <x v="0"/>
    <x v="0"/>
    <s v="2025/2026 Curative Medical"/>
    <m/>
    <n v="210000"/>
  </r>
  <r>
    <s v="Francisco"/>
    <s v="BURGOS"/>
    <m/>
    <s v="M"/>
    <d v="1979-12-02T00:00:00"/>
    <m/>
    <m/>
    <s v="Spouse"/>
    <x v="0"/>
    <x v="0"/>
    <m/>
    <m/>
    <m/>
  </r>
  <r>
    <s v="Alana"/>
    <s v="Burgos"/>
    <m/>
    <s v="F"/>
    <d v="2011-06-06T00:00:00"/>
    <m/>
    <m/>
    <s v="Child"/>
    <x v="0"/>
    <x v="0"/>
    <m/>
    <m/>
    <m/>
  </r>
  <r>
    <s v="Ian"/>
    <s v="Burgos"/>
    <m/>
    <s v="M"/>
    <d v="2008-10-02T00:00:00"/>
    <m/>
    <m/>
    <s v="Child"/>
    <x v="0"/>
    <x v="0"/>
    <m/>
    <m/>
    <m/>
  </r>
  <r>
    <s v="Micah"/>
    <s v="Quraeshi"/>
    <s v="F"/>
    <s v="F"/>
    <d v="1991-05-31T00:00:00"/>
    <n v="33449"/>
    <m/>
    <m/>
    <x v="0"/>
    <x v="0"/>
    <s v="2025/2026 Curative Medical"/>
    <m/>
    <n v="26000"/>
  </r>
  <r>
    <s v="Shahmir"/>
    <s v="Quraeshi"/>
    <m/>
    <s v="M"/>
    <d v="1986-11-30T00:00:00"/>
    <m/>
    <m/>
    <s v="Spouse"/>
    <x v="0"/>
    <x v="0"/>
    <m/>
    <m/>
    <m/>
  </r>
  <r>
    <s v="Kashif"/>
    <s v="Quraeshi"/>
    <m/>
    <s v="M"/>
    <d v="2020-10-07T00:00:00"/>
    <m/>
    <m/>
    <s v="Child"/>
    <x v="0"/>
    <x v="0"/>
    <m/>
    <m/>
    <m/>
  </r>
  <r>
    <s v="Zara"/>
    <s v="Quraeshi"/>
    <m/>
    <s v="F"/>
    <d v="2025-09-26T00:00:00"/>
    <m/>
    <m/>
    <s v="Child"/>
    <x v="0"/>
    <x v="0"/>
    <m/>
    <m/>
    <m/>
  </r>
  <r>
    <s v="Shahmir"/>
    <s v="Quraeshi"/>
    <m/>
    <s v="M"/>
    <d v="1986-11-30T00:00:00"/>
    <n v="33449"/>
    <m/>
    <m/>
    <x v="0"/>
    <x v="0"/>
    <m/>
    <m/>
    <n v="0"/>
  </r>
  <r>
    <s v="Indera"/>
    <s v="Rachpaul"/>
    <m/>
    <s v="F"/>
    <d v="1965-08-17T00:00:00"/>
    <s v="32905-5044"/>
    <m/>
    <m/>
    <x v="0"/>
    <x v="0"/>
    <m/>
    <m/>
    <n v="33280"/>
  </r>
  <r>
    <s v="Carrie"/>
    <s v="Rethwisch"/>
    <s v="E"/>
    <s v="F"/>
    <d v="1970-05-09T00:00:00"/>
    <s v="32934-8602"/>
    <m/>
    <m/>
    <x v="0"/>
    <x v="0"/>
    <s v="2025/2026 Curative Medical"/>
    <m/>
    <n v="43680"/>
  </r>
  <r>
    <s v="Connie"/>
    <s v="Rich"/>
    <m/>
    <s v="F"/>
    <d v="1964-08-06T00:00:00"/>
    <n v="32905"/>
    <m/>
    <m/>
    <x v="0"/>
    <x v="0"/>
    <m/>
    <m/>
    <n v="53040"/>
  </r>
  <r>
    <s v="Jenna"/>
    <s v="Rider"/>
    <m/>
    <s v="F"/>
    <d v="1998-10-10T00:00:00"/>
    <s v="32908-6423"/>
    <m/>
    <m/>
    <x v="0"/>
    <x v="0"/>
    <m/>
    <m/>
    <n v="64480"/>
  </r>
  <r>
    <s v="Everlidis"/>
    <s v="Rivera"/>
    <m/>
    <s v="F"/>
    <d v="1974-05-06T00:00:00"/>
    <n v="32909"/>
    <m/>
    <m/>
    <x v="0"/>
    <x v="0"/>
    <m/>
    <m/>
    <n v="43680"/>
  </r>
  <r>
    <s v="Latisha"/>
    <s v="Roberts"/>
    <m/>
    <s v="F"/>
    <d v="1981-10-15T00:00:00"/>
    <s v="32909-5718"/>
    <m/>
    <m/>
    <x v="0"/>
    <x v="0"/>
    <m/>
    <m/>
    <n v="41600"/>
  </r>
  <r>
    <s v="Mercedes"/>
    <s v="Rose"/>
    <m/>
    <s v="F"/>
    <d v="1999-08-09T00:00:00"/>
    <s v="32955-6817"/>
    <m/>
    <m/>
    <x v="0"/>
    <x v="0"/>
    <m/>
    <m/>
    <n v="39000"/>
  </r>
  <r>
    <s v="Rachel"/>
    <s v="Rose"/>
    <m/>
    <s v="F"/>
    <d v="1981-06-12T00:00:00"/>
    <s v="32901-3162"/>
    <m/>
    <m/>
    <x v="0"/>
    <x v="0"/>
    <m/>
    <m/>
    <n v="37440"/>
  </r>
  <r>
    <s v="Flexanne"/>
    <s v="Ruiz"/>
    <s v="E"/>
    <s v="F"/>
    <d v="1986-11-08T00:00:00"/>
    <s v="32905-6568"/>
    <m/>
    <m/>
    <x v="0"/>
    <x v="0"/>
    <s v="2025/2026 Curative Medical"/>
    <m/>
    <n v="35360"/>
  </r>
  <r>
    <s v="Lizabeth"/>
    <s v="Saint-Hilaire"/>
    <s v="F"/>
    <s v="F"/>
    <d v="1985-09-04T00:00:00"/>
    <s v="32934-8523"/>
    <m/>
    <m/>
    <x v="0"/>
    <x v="0"/>
    <s v="2025/2026 Curative Medical"/>
    <m/>
    <n v="180000"/>
  </r>
  <r>
    <s v="Wilmer"/>
    <s v="Saint-Hilaire"/>
    <m/>
    <s v="M"/>
    <d v="1983-08-19T00:00:00"/>
    <m/>
    <m/>
    <s v="Spouse"/>
    <x v="0"/>
    <x v="0"/>
    <m/>
    <m/>
    <m/>
  </r>
  <r>
    <s v="Diana"/>
    <s v="Saint-Hilaire"/>
    <m/>
    <s v="F"/>
    <d v="2013-05-23T00:00:00"/>
    <m/>
    <m/>
    <s v="Child"/>
    <x v="0"/>
    <x v="0"/>
    <m/>
    <m/>
    <m/>
  </r>
  <r>
    <s v="Leonardo"/>
    <s v="Saint-Hilaire"/>
    <m/>
    <s v="M"/>
    <d v="2016-08-30T00:00:00"/>
    <m/>
    <m/>
    <s v="Child"/>
    <x v="0"/>
    <x v="0"/>
    <m/>
    <m/>
    <m/>
  </r>
  <r>
    <s v="Maria"/>
    <s v="Sanchez Trejo"/>
    <m/>
    <s v="F"/>
    <d v="1993-10-04T00:00:00"/>
    <s v="32907-1253"/>
    <m/>
    <m/>
    <x v="0"/>
    <x v="0"/>
    <m/>
    <m/>
    <n v="39520"/>
  </r>
  <r>
    <s v="Adrian"/>
    <s v="Santamont"/>
    <s v="S"/>
    <s v="M"/>
    <d v="1975-01-08T00:00:00"/>
    <s v="32901-7021"/>
    <m/>
    <m/>
    <x v="0"/>
    <x v="0"/>
    <s v="2025/2026 Curative Medical"/>
    <m/>
    <n v="45760"/>
  </r>
  <r>
    <s v="Stacey"/>
    <s v="Buchanan"/>
    <m/>
    <s v="F"/>
    <d v="1974-03-06T00:00:00"/>
    <m/>
    <m/>
    <s v="Spouse"/>
    <x v="0"/>
    <x v="0"/>
    <m/>
    <m/>
    <m/>
  </r>
  <r>
    <s v="Sandra"/>
    <s v="Santiago"/>
    <m/>
    <s v="F"/>
    <d v="1982-07-11T00:00:00"/>
    <s v="32908-1325"/>
    <m/>
    <m/>
    <x v="0"/>
    <x v="0"/>
    <m/>
    <m/>
    <n v="34320"/>
  </r>
  <r>
    <s v="Avery"/>
    <s v="Saunders"/>
    <m/>
    <s v="F"/>
    <d v="2001-11-07T00:00:00"/>
    <s v="32953-4421"/>
    <m/>
    <m/>
    <x v="0"/>
    <x v="0"/>
    <m/>
    <m/>
    <n v="38480"/>
  </r>
  <r>
    <s v="Joyce"/>
    <s v="Sewell"/>
    <s v="E"/>
    <s v="F"/>
    <d v="1964-09-11T00:00:00"/>
    <s v="32935-2225"/>
    <m/>
    <m/>
    <x v="0"/>
    <x v="0"/>
    <s v="2025/2026 Curative Medical"/>
    <m/>
    <n v="40560"/>
  </r>
  <r>
    <s v="Tammy"/>
    <s v="Shastri"/>
    <s v="E"/>
    <s v="F"/>
    <d v="1962-08-23T00:00:00"/>
    <s v="32905-5030"/>
    <m/>
    <m/>
    <x v="0"/>
    <x v="0"/>
    <s v="2025/2026 Curative Medical"/>
    <m/>
    <n v="66560"/>
  </r>
  <r>
    <s v="Chelsea"/>
    <s v="Shinkunas"/>
    <s v="C"/>
    <s v="F"/>
    <d v="1993-10-27T00:00:00"/>
    <s v="32935-4082"/>
    <m/>
    <m/>
    <x v="0"/>
    <x v="0"/>
    <s v="2025/2026 Curative Medical"/>
    <m/>
    <n v="74880"/>
  </r>
  <r>
    <s v="Augustus"/>
    <s v="Shinkunas"/>
    <m/>
    <s v="M"/>
    <d v="2025-10-15T00:00:00"/>
    <m/>
    <m/>
    <s v="Child"/>
    <x v="0"/>
    <x v="0"/>
    <m/>
    <m/>
    <m/>
  </r>
  <r>
    <s v="Malinda"/>
    <s v="Skorupa"/>
    <m/>
    <s v="F"/>
    <d v="1984-08-26T00:00:00"/>
    <s v="32901-1425"/>
    <m/>
    <m/>
    <x v="0"/>
    <x v="0"/>
    <m/>
    <m/>
    <n v="43680"/>
  </r>
  <r>
    <s v="Laura"/>
    <s v="Slider"/>
    <m/>
    <s v="F"/>
    <d v="1965-02-21T00:00:00"/>
    <s v="32904-9599"/>
    <m/>
    <m/>
    <x v="0"/>
    <x v="0"/>
    <m/>
    <m/>
    <n v="57200"/>
  </r>
  <r>
    <s v="Taylor"/>
    <s v="Snyder"/>
    <m/>
    <s v="F"/>
    <d v="2006-12-26T00:00:00"/>
    <s v="32907-9039"/>
    <m/>
    <m/>
    <x v="0"/>
    <x v="0"/>
    <m/>
    <m/>
    <n v="33280"/>
  </r>
  <r>
    <s v="Jean"/>
    <s v="Spinning"/>
    <m/>
    <s v="F"/>
    <d v="1958-01-19T00:00:00"/>
    <s v="32904-5160"/>
    <m/>
    <m/>
    <x v="0"/>
    <x v="0"/>
    <m/>
    <m/>
    <n v="43680"/>
  </r>
  <r>
    <s v="Allison"/>
    <s v="Spivey"/>
    <s v="E"/>
    <s v="F"/>
    <d v="1989-12-07T00:00:00"/>
    <s v="32931-2306"/>
    <m/>
    <m/>
    <x v="0"/>
    <x v="0"/>
    <s v="2025/2026 Curative Medical"/>
    <m/>
    <n v="68640"/>
  </r>
  <r>
    <s v="Rowena"/>
    <s v="Stein"/>
    <m/>
    <s v="F"/>
    <d v="1957-06-29T00:00:00"/>
    <s v="32909-5313"/>
    <m/>
    <m/>
    <x v="0"/>
    <x v="0"/>
    <m/>
    <m/>
    <n v="62400"/>
  </r>
  <r>
    <s v="Kelly"/>
    <s v="Stephens"/>
    <s v="E"/>
    <s v="F"/>
    <d v="1987-03-06T00:00:00"/>
    <s v="32901-8767"/>
    <m/>
    <m/>
    <x v="0"/>
    <x v="0"/>
    <s v="2025/2026 Curative Medical"/>
    <m/>
    <n v="41600"/>
  </r>
  <r>
    <s v="Linda"/>
    <s v="Styers"/>
    <m/>
    <s v="F"/>
    <d v="1954-07-26T00:00:00"/>
    <n v="32926"/>
    <m/>
    <m/>
    <x v="0"/>
    <x v="0"/>
    <m/>
    <m/>
    <n v="27040"/>
  </r>
  <r>
    <s v="Vicki"/>
    <s v="Sylvester"/>
    <m/>
    <s v="F"/>
    <d v="1959-04-20T00:00:00"/>
    <s v="32907-2909"/>
    <m/>
    <m/>
    <x v="0"/>
    <x v="0"/>
    <m/>
    <m/>
    <n v="28600"/>
  </r>
  <r>
    <s v="Peter"/>
    <s v="Taraschi"/>
    <m/>
    <s v="M"/>
    <d v="1958-09-10T00:00:00"/>
    <s v="32789-2680"/>
    <m/>
    <m/>
    <x v="0"/>
    <x v="0"/>
    <m/>
    <m/>
    <n v="325000"/>
  </r>
  <r>
    <s v="Carol"/>
    <s v="Thompson"/>
    <m/>
    <s v="F"/>
    <d v="2000-10-13T00:00:00"/>
    <s v="32940-3606"/>
    <m/>
    <m/>
    <x v="0"/>
    <x v="0"/>
    <m/>
    <m/>
    <n v="68640"/>
  </r>
  <r>
    <s v="Thomas"/>
    <s v="Thornton"/>
    <s v="E"/>
    <s v="M"/>
    <d v="1967-06-19T00:00:00"/>
    <s v="32901-8739"/>
    <m/>
    <m/>
    <x v="0"/>
    <x v="0"/>
    <s v="2025/2026 Curative Medical"/>
    <m/>
    <n v="22880"/>
  </r>
  <r>
    <s v="Dina"/>
    <s v="Tillmann"/>
    <m/>
    <s v="F"/>
    <d v="1971-04-04T00:00:00"/>
    <s v="32909-8303"/>
    <m/>
    <m/>
    <x v="0"/>
    <x v="0"/>
    <m/>
    <m/>
    <n v="34320"/>
  </r>
  <r>
    <s v="Jeanette"/>
    <s v="Toussaint"/>
    <m/>
    <s v="F"/>
    <d v="1994-09-06T00:00:00"/>
    <s v="32905-5924"/>
    <m/>
    <m/>
    <x v="0"/>
    <x v="0"/>
    <m/>
    <m/>
    <n v="37440"/>
  </r>
  <r>
    <s v="Ashley"/>
    <s v="Tresnak"/>
    <s v="E"/>
    <s v="F"/>
    <d v="1986-01-14T00:00:00"/>
    <s v="32909-7312"/>
    <m/>
    <m/>
    <x v="0"/>
    <x v="0"/>
    <s v="2025/2026 Curative Medical"/>
    <m/>
    <n v="38480"/>
  </r>
  <r>
    <s v="Jamya"/>
    <s v="Trusty"/>
    <m/>
    <s v="F"/>
    <d v="2004-04-20T00:00:00"/>
    <s v="32905-6211"/>
    <m/>
    <m/>
    <x v="0"/>
    <x v="0"/>
    <m/>
    <m/>
    <n v="35360"/>
  </r>
  <r>
    <s v="Gustavo"/>
    <s v="Vallejo"/>
    <s v="S"/>
    <s v="M"/>
    <d v="1949-02-23T00:00:00"/>
    <n v="32901"/>
    <m/>
    <m/>
    <x v="0"/>
    <x v="0"/>
    <s v="2025/2026 Curative Medical"/>
    <m/>
    <n v="260000"/>
  </r>
  <r>
    <s v="Maritza"/>
    <s v="Euceda"/>
    <m/>
    <s v="F"/>
    <d v="1951-08-18T00:00:00"/>
    <m/>
    <m/>
    <s v="Spouse"/>
    <x v="0"/>
    <x v="0"/>
    <m/>
    <m/>
    <m/>
  </r>
  <r>
    <s v="April"/>
    <s v="Vandusen"/>
    <s v="E"/>
    <s v="F"/>
    <d v="1965-12-10T00:00:00"/>
    <s v="32907-1920"/>
    <m/>
    <m/>
    <x v="0"/>
    <x v="0"/>
    <s v="2025/2026 Curative Medical"/>
    <m/>
    <n v="27352"/>
  </r>
  <r>
    <s v="Shirayha"/>
    <s v="Vann"/>
    <m/>
    <s v="F"/>
    <d v="1996-04-07T00:00:00"/>
    <s v="32940-8823"/>
    <m/>
    <m/>
    <x v="0"/>
    <x v="0"/>
    <m/>
    <m/>
    <n v="37440"/>
  </r>
  <r>
    <s v="Tami"/>
    <s v="Vieira"/>
    <s v="E"/>
    <s v="F"/>
    <d v="1984-12-19T00:00:00"/>
    <s v="32976-2817"/>
    <m/>
    <m/>
    <x v="0"/>
    <x v="0"/>
    <s v="2025/2026 Curative Medical"/>
    <m/>
    <n v="41600"/>
  </r>
  <r>
    <s v="Lilia"/>
    <s v="Vinarsky"/>
    <m/>
    <s v="F"/>
    <d v="1971-02-05T00:00:00"/>
    <s v="32937-5102"/>
    <m/>
    <m/>
    <x v="0"/>
    <x v="0"/>
    <m/>
    <m/>
    <n v="187200"/>
  </r>
  <r>
    <s v="Olena"/>
    <s v="Vlasii"/>
    <s v="C"/>
    <s v="F"/>
    <d v="1978-06-12T00:00:00"/>
    <n v="32937"/>
    <m/>
    <m/>
    <x v="0"/>
    <x v="0"/>
    <s v="2025/2026 Curative Medical"/>
    <m/>
    <n v="154000.07999999999"/>
  </r>
  <r>
    <s v="Dennis"/>
    <s v="Vlasii"/>
    <m/>
    <s v="F"/>
    <d v="2010-12-20T00:00:00"/>
    <m/>
    <m/>
    <s v="Child"/>
    <x v="0"/>
    <x v="0"/>
    <m/>
    <m/>
    <m/>
  </r>
  <r>
    <s v="Anna"/>
    <s v="Vlasii"/>
    <m/>
    <s v="F"/>
    <d v="2014-05-21T00:00:00"/>
    <m/>
    <m/>
    <s v="Child"/>
    <x v="0"/>
    <x v="0"/>
    <m/>
    <m/>
    <m/>
  </r>
  <r>
    <s v="Kendall"/>
    <s v="Walker"/>
    <m/>
    <s v="F"/>
    <d v="1994-07-13T00:00:00"/>
    <s v="32940-1971"/>
    <m/>
    <m/>
    <x v="0"/>
    <x v="0"/>
    <m/>
    <m/>
    <n v="36400"/>
  </r>
  <r>
    <s v="Natalie"/>
    <s v="Washington"/>
    <m/>
    <s v="F"/>
    <d v="1970-02-27T00:00:00"/>
    <s v="32901-8588"/>
    <m/>
    <m/>
    <x v="0"/>
    <x v="0"/>
    <m/>
    <m/>
    <n v="37440"/>
  </r>
  <r>
    <s v="Samira"/>
    <s v="Washington"/>
    <m/>
    <s v="F"/>
    <d v="1982-05-13T00:00:00"/>
    <s v="32901-8790"/>
    <m/>
    <m/>
    <x v="0"/>
    <x v="0"/>
    <m/>
    <m/>
    <n v="34320"/>
  </r>
  <r>
    <s v="Jenna"/>
    <s v="Wegnerowski"/>
    <m/>
    <s v="F"/>
    <d v="2002-05-18T00:00:00"/>
    <s v="32904-3522"/>
    <m/>
    <m/>
    <x v="0"/>
    <x v="0"/>
    <m/>
    <m/>
    <n v="34320"/>
  </r>
  <r>
    <s v="Joan"/>
    <s v="Werner"/>
    <m/>
    <s v="F"/>
    <d v="1979-06-22T00:00:00"/>
    <s v="32940-7078"/>
    <m/>
    <m/>
    <x v="0"/>
    <x v="0"/>
    <m/>
    <m/>
    <n v="124000"/>
  </r>
  <r>
    <s v="Deborah"/>
    <s v="Westfall"/>
    <m/>
    <s v="F"/>
    <d v="1956-08-13T00:00:00"/>
    <n v="32934"/>
    <m/>
    <m/>
    <x v="0"/>
    <x v="0"/>
    <m/>
    <m/>
    <n v="36441.599999999999"/>
  </r>
  <r>
    <s v="Elisa"/>
    <s v="White"/>
    <m/>
    <s v="F"/>
    <d v="1969-06-03T00:00:00"/>
    <s v="32908-7512"/>
    <m/>
    <m/>
    <x v="0"/>
    <x v="0"/>
    <m/>
    <m/>
    <n v="33280"/>
  </r>
  <r>
    <s v="Wendy"/>
    <s v="Williams"/>
    <s v="E"/>
    <s v="F"/>
    <d v="1977-06-16T00:00:00"/>
    <s v="32909-5422"/>
    <m/>
    <m/>
    <x v="0"/>
    <x v="0"/>
    <s v="2025/2026 Curative Medical"/>
    <m/>
    <n v="42848"/>
  </r>
  <r>
    <s v="Cheryl"/>
    <s v="Willson"/>
    <m/>
    <s v="F"/>
    <d v="1974-01-11T00:00:00"/>
    <s v="32940-1795"/>
    <m/>
    <m/>
    <x v="0"/>
    <x v="0"/>
    <m/>
    <m/>
    <n v="33800"/>
  </r>
  <r>
    <s v="Kena"/>
    <s v="Wilson"/>
    <m/>
    <s v="F"/>
    <d v="1982-08-27T00:00:00"/>
    <s v="32907-2706"/>
    <m/>
    <m/>
    <x v="0"/>
    <x v="0"/>
    <m/>
    <m/>
    <n v="34320"/>
  </r>
  <r>
    <s v="Mary"/>
    <s v="Worden"/>
    <s v="E"/>
    <s v="F"/>
    <d v="1980-11-04T00:00:00"/>
    <s v="32780-6370"/>
    <m/>
    <m/>
    <x v="0"/>
    <x v="0"/>
    <s v="2025/2026 Curative Medical"/>
    <m/>
    <n v="416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3:C4" firstHeaderRow="0" firstDataRow="1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7">
        <item m="1" x="1"/>
        <item m="1" x="20"/>
        <item m="1" x="10"/>
        <item m="1" x="17"/>
        <item m="1" x="3"/>
        <item m="1" x="23"/>
        <item m="1" x="15"/>
        <item m="1" x="16"/>
        <item m="1" x="6"/>
        <item m="1" x="18"/>
        <item m="1" x="19"/>
        <item m="1" x="22"/>
        <item m="1" x="2"/>
        <item m="1" x="13"/>
        <item m="1" x="21"/>
        <item m="1" x="24"/>
        <item m="1" x="25"/>
        <item m="1" x="14"/>
        <item m="1" x="11"/>
        <item m="1" x="12"/>
        <item m="1" x="7"/>
        <item m="1" x="8"/>
        <item m="1" x="9"/>
        <item m="1" x="4"/>
        <item m="1" x="5"/>
        <item x="0"/>
        <item t="default"/>
      </items>
    </pivotField>
    <pivotField axis="axisRow" showAll="0">
      <items count="52">
        <item h="1" x="0"/>
        <item m="1" x="3"/>
        <item m="1" x="29"/>
        <item m="1" x="37"/>
        <item m="1" x="46"/>
        <item m="1" x="35"/>
        <item m="1" x="12"/>
        <item m="1" x="4"/>
        <item m="1" x="33"/>
        <item m="1" x="41"/>
        <item m="1" x="8"/>
        <item m="1" x="10"/>
        <item m="1" x="27"/>
        <item m="1" x="13"/>
        <item m="1" x="1"/>
        <item m="1" x="18"/>
        <item m="1" x="20"/>
        <item m="1" x="43"/>
        <item m="1" x="36"/>
        <item m="1" x="11"/>
        <item m="1" x="5"/>
        <item m="1" x="25"/>
        <item m="1" x="24"/>
        <item m="1" x="22"/>
        <item m="1" x="31"/>
        <item m="1" x="15"/>
        <item m="1" x="39"/>
        <item m="1" x="45"/>
        <item m="1" x="50"/>
        <item m="1" x="47"/>
        <item m="1" x="19"/>
        <item m="1" x="14"/>
        <item m="1" x="21"/>
        <item m="1" x="23"/>
        <item m="1" x="34"/>
        <item m="1" x="28"/>
        <item m="1" x="32"/>
        <item m="1" x="49"/>
        <item m="1" x="40"/>
        <item m="1" x="42"/>
        <item m="1" x="9"/>
        <item m="1" x="44"/>
        <item m="1" x="38"/>
        <item m="1" x="48"/>
        <item m="1" x="16"/>
        <item m="1" x="6"/>
        <item m="1" x="7"/>
        <item m="1" x="2"/>
        <item m="1" x="30"/>
        <item m="1" x="17"/>
        <item m="1" x="26"/>
        <item t="default"/>
      </items>
    </pivotField>
    <pivotField showAll="0"/>
    <pivotField showAll="0"/>
    <pivotField dataField="1" showAll="0"/>
  </pivotFields>
  <rowFields count="2">
    <field x="9"/>
    <field x="8"/>
  </rowFields>
  <rowItems count="1">
    <i t="grand">
      <x/>
    </i>
  </rowItems>
  <colFields count="1">
    <field x="-2"/>
  </colFields>
  <colItems count="2">
    <i>
      <x/>
    </i>
    <i i="1">
      <x v="1"/>
    </i>
  </colItems>
  <dataFields count="2">
    <dataField name="Number of Employees" fld="0" subtotal="count" baseField="8" baseItem="0"/>
    <dataField name="Sum of Annual Pay " fld="12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5" totalsRowShown="0">
  <autoFilter ref="A1:A5" xr:uid="{00000000-0009-0000-0100-000001000000}"/>
  <tableColumns count="1">
    <tableColumn id="1" xr3:uid="{00000000-0010-0000-0000-000001000000}" name="Payroll Frequency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1"/>
  <sheetViews>
    <sheetView showGridLines="0" tabSelected="1" zoomScale="90" zoomScaleNormal="90" workbookViewId="0">
      <selection activeCell="A12" sqref="A12"/>
    </sheetView>
  </sheetViews>
  <sheetFormatPr defaultRowHeight="14.5" x14ac:dyDescent="0.35"/>
  <cols>
    <col min="1" max="1" width="19.54296875" customWidth="1"/>
    <col min="2" max="2" width="17.1796875" customWidth="1"/>
    <col min="3" max="3" width="21.26953125" bestFit="1" customWidth="1"/>
    <col min="4" max="4" width="10.453125" customWidth="1"/>
    <col min="5" max="5" width="12.7265625" style="2" customWidth="1"/>
    <col min="6" max="6" width="12.1796875" bestFit="1" customWidth="1"/>
    <col min="7" max="7" width="14.1796875" customWidth="1"/>
    <col min="8" max="8" width="42.26953125" hidden="1" customWidth="1"/>
    <col min="9" max="9" width="11.453125" hidden="1" customWidth="1"/>
    <col min="10" max="10" width="12.81640625" customWidth="1"/>
    <col min="11" max="11" width="43.453125" bestFit="1" customWidth="1"/>
    <col min="12" max="12" width="15.54296875" customWidth="1"/>
    <col min="13" max="13" width="16.54296875" style="1" bestFit="1" customWidth="1"/>
    <col min="14" max="14" width="20.26953125" style="1" bestFit="1" customWidth="1"/>
    <col min="15" max="15" width="18.81640625" bestFit="1" customWidth="1"/>
    <col min="16" max="16" width="37" bestFit="1" customWidth="1"/>
    <col min="17" max="17" width="13.54296875" customWidth="1"/>
    <col min="18" max="18" width="12.26953125" customWidth="1"/>
    <col min="19" max="19" width="27.7265625" customWidth="1"/>
  </cols>
  <sheetData>
    <row r="1" spans="1:18" ht="15" thickBot="1" x14ac:dyDescent="0.4">
      <c r="A1" s="70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3"/>
    </row>
    <row r="2" spans="1:18" ht="32" customHeight="1" thickBot="1" x14ac:dyDescent="0.4">
      <c r="A2" s="13" t="s">
        <v>8</v>
      </c>
      <c r="B2" s="13" t="s">
        <v>24</v>
      </c>
      <c r="C2" s="13" t="s">
        <v>4</v>
      </c>
      <c r="D2" s="14" t="s">
        <v>18</v>
      </c>
      <c r="E2" s="15" t="s">
        <v>7</v>
      </c>
      <c r="F2" s="16" t="s">
        <v>23</v>
      </c>
      <c r="G2" s="17" t="s">
        <v>9</v>
      </c>
      <c r="H2" s="29" t="s">
        <v>1</v>
      </c>
      <c r="I2" s="29" t="s">
        <v>2</v>
      </c>
      <c r="J2" s="16" t="s">
        <v>3</v>
      </c>
      <c r="K2" s="29" t="s">
        <v>5</v>
      </c>
      <c r="L2" s="30" t="s">
        <v>25</v>
      </c>
      <c r="M2" s="18" t="s">
        <v>6</v>
      </c>
      <c r="N2" s="9"/>
    </row>
    <row r="3" spans="1:18" ht="15" customHeight="1" x14ac:dyDescent="0.35">
      <c r="A3" s="51" t="s">
        <v>146</v>
      </c>
      <c r="B3" s="64" t="s">
        <v>29</v>
      </c>
      <c r="C3" s="65" t="s">
        <v>284</v>
      </c>
      <c r="D3" s="52" t="s">
        <v>284</v>
      </c>
      <c r="E3" s="52">
        <v>23388</v>
      </c>
      <c r="F3" s="60" t="s">
        <v>289</v>
      </c>
      <c r="G3" s="61" t="s">
        <v>385</v>
      </c>
      <c r="H3" s="66"/>
      <c r="I3" s="67"/>
      <c r="J3" s="61" t="s">
        <v>385</v>
      </c>
      <c r="K3" s="53" t="s">
        <v>286</v>
      </c>
      <c r="L3" s="69" t="s">
        <v>387</v>
      </c>
      <c r="M3" s="48">
        <v>149999.98000000001</v>
      </c>
      <c r="N3" s="32" t="s">
        <v>16</v>
      </c>
      <c r="O3" s="33" t="s">
        <v>15</v>
      </c>
      <c r="P3" s="34" t="s">
        <v>17</v>
      </c>
      <c r="Q3" s="5"/>
      <c r="R3" s="10"/>
    </row>
    <row r="4" spans="1:18" ht="15" customHeight="1" x14ac:dyDescent="0.35">
      <c r="A4" s="54" t="s">
        <v>147</v>
      </c>
      <c r="B4" s="39" t="s">
        <v>30</v>
      </c>
      <c r="C4" s="40"/>
      <c r="D4" s="55" t="s">
        <v>284</v>
      </c>
      <c r="E4" s="55">
        <v>23138</v>
      </c>
      <c r="F4" s="58"/>
      <c r="G4" s="42"/>
      <c r="H4" s="43" t="s">
        <v>287</v>
      </c>
      <c r="I4" s="44"/>
      <c r="J4" s="42"/>
      <c r="K4" s="47"/>
      <c r="L4" s="45"/>
      <c r="M4" s="46"/>
      <c r="N4" s="35"/>
      <c r="O4" s="36" t="s">
        <v>12</v>
      </c>
      <c r="P4" s="37"/>
      <c r="Q4" s="10"/>
      <c r="R4" s="10"/>
    </row>
    <row r="5" spans="1:18" ht="15" customHeight="1" x14ac:dyDescent="0.35">
      <c r="A5" s="38" t="s">
        <v>148</v>
      </c>
      <c r="B5" s="39" t="s">
        <v>29</v>
      </c>
      <c r="C5" s="40"/>
      <c r="D5" s="41" t="s">
        <v>285</v>
      </c>
      <c r="E5" s="41">
        <v>37770</v>
      </c>
      <c r="F5" s="59"/>
      <c r="G5" s="42"/>
      <c r="H5" s="43" t="s">
        <v>288</v>
      </c>
      <c r="I5" s="44"/>
      <c r="J5" s="42"/>
      <c r="K5" s="47"/>
      <c r="L5" s="45"/>
      <c r="M5" s="46"/>
      <c r="N5" s="7"/>
      <c r="O5" s="5"/>
      <c r="P5" s="6"/>
      <c r="Q5" s="10"/>
      <c r="R5" s="10"/>
    </row>
    <row r="6" spans="1:18" ht="15" customHeight="1" x14ac:dyDescent="0.35">
      <c r="A6" s="38" t="s">
        <v>149</v>
      </c>
      <c r="B6" s="39" t="s">
        <v>29</v>
      </c>
      <c r="C6" s="40"/>
      <c r="D6" s="41" t="s">
        <v>285</v>
      </c>
      <c r="E6" s="41">
        <v>36812</v>
      </c>
      <c r="F6" s="59"/>
      <c r="G6" s="42"/>
      <c r="H6" s="43" t="s">
        <v>288</v>
      </c>
      <c r="I6" s="44"/>
      <c r="J6" s="63"/>
      <c r="K6" s="47"/>
      <c r="L6" s="45"/>
      <c r="M6" s="46"/>
      <c r="N6" s="7"/>
      <c r="O6" s="5"/>
      <c r="P6" s="6"/>
      <c r="Q6" s="10"/>
      <c r="R6" s="10"/>
    </row>
    <row r="7" spans="1:18" ht="15" customHeight="1" x14ac:dyDescent="0.35">
      <c r="A7" s="51" t="s">
        <v>150</v>
      </c>
      <c r="B7" s="49" t="s">
        <v>31</v>
      </c>
      <c r="C7" s="50" t="s">
        <v>26</v>
      </c>
      <c r="D7" s="52" t="s">
        <v>284</v>
      </c>
      <c r="E7" s="52">
        <v>27314</v>
      </c>
      <c r="F7" s="60">
        <v>32907</v>
      </c>
      <c r="G7" s="61" t="s">
        <v>385</v>
      </c>
      <c r="H7" s="56"/>
      <c r="I7" s="57"/>
      <c r="J7" s="61" t="s">
        <v>385</v>
      </c>
      <c r="K7" s="53" t="s">
        <v>286</v>
      </c>
      <c r="L7" s="69" t="s">
        <v>387</v>
      </c>
      <c r="M7" s="48">
        <v>52000</v>
      </c>
      <c r="N7" s="7"/>
      <c r="O7" s="5"/>
      <c r="P7" s="6"/>
      <c r="Q7" s="10"/>
      <c r="R7" s="10"/>
    </row>
    <row r="8" spans="1:18" ht="15" customHeight="1" x14ac:dyDescent="0.35">
      <c r="A8" s="51" t="s">
        <v>151</v>
      </c>
      <c r="B8" s="49" t="s">
        <v>32</v>
      </c>
      <c r="C8" s="50" t="s">
        <v>388</v>
      </c>
      <c r="D8" s="52" t="s">
        <v>285</v>
      </c>
      <c r="E8" s="52">
        <v>37139</v>
      </c>
      <c r="F8" s="60" t="s">
        <v>290</v>
      </c>
      <c r="G8" s="61" t="s">
        <v>385</v>
      </c>
      <c r="H8" s="56"/>
      <c r="I8" s="57"/>
      <c r="J8" s="62" t="s">
        <v>385</v>
      </c>
      <c r="K8" s="53"/>
      <c r="L8" s="69" t="s">
        <v>387</v>
      </c>
      <c r="M8" s="48">
        <v>38480</v>
      </c>
      <c r="N8" s="7"/>
      <c r="O8" s="5"/>
      <c r="P8" s="6"/>
      <c r="Q8" s="10"/>
      <c r="R8" s="10"/>
    </row>
    <row r="9" spans="1:18" ht="15" customHeight="1" x14ac:dyDescent="0.35">
      <c r="A9" s="51" t="s">
        <v>152</v>
      </c>
      <c r="B9" s="49" t="s">
        <v>33</v>
      </c>
      <c r="C9" s="50" t="s">
        <v>28</v>
      </c>
      <c r="D9" s="52" t="s">
        <v>284</v>
      </c>
      <c r="E9" s="52">
        <v>33813</v>
      </c>
      <c r="F9" s="60" t="s">
        <v>291</v>
      </c>
      <c r="G9" s="61" t="s">
        <v>385</v>
      </c>
      <c r="H9" s="56"/>
      <c r="I9" s="57"/>
      <c r="J9" s="62" t="s">
        <v>385</v>
      </c>
      <c r="K9" s="53" t="s">
        <v>286</v>
      </c>
      <c r="L9" s="69" t="s">
        <v>387</v>
      </c>
      <c r="M9" s="48">
        <v>120000</v>
      </c>
      <c r="N9" s="7"/>
      <c r="O9" s="5"/>
      <c r="P9" s="6"/>
      <c r="Q9" s="10"/>
      <c r="R9" s="10"/>
    </row>
    <row r="10" spans="1:18" ht="15" customHeight="1" x14ac:dyDescent="0.35">
      <c r="A10" s="38" t="s">
        <v>153</v>
      </c>
      <c r="B10" s="39" t="s">
        <v>34</v>
      </c>
      <c r="C10" s="40"/>
      <c r="D10" s="41" t="s">
        <v>284</v>
      </c>
      <c r="E10" s="41">
        <v>40784</v>
      </c>
      <c r="F10" s="59"/>
      <c r="G10" s="42"/>
      <c r="H10" s="43" t="s">
        <v>288</v>
      </c>
      <c r="I10" s="44"/>
      <c r="J10" s="42"/>
      <c r="K10" s="47"/>
      <c r="L10" s="45"/>
      <c r="M10" s="46"/>
      <c r="N10" s="7"/>
      <c r="O10" s="5"/>
      <c r="P10" s="6"/>
      <c r="Q10" s="10"/>
      <c r="R10" s="10"/>
    </row>
    <row r="11" spans="1:18" ht="15" customHeight="1" x14ac:dyDescent="0.35">
      <c r="A11" s="38" t="s">
        <v>154</v>
      </c>
      <c r="B11" s="39" t="s">
        <v>35</v>
      </c>
      <c r="C11" s="40"/>
      <c r="D11" s="41" t="s">
        <v>285</v>
      </c>
      <c r="E11" s="41">
        <v>39403</v>
      </c>
      <c r="F11" s="59"/>
      <c r="G11" s="42"/>
      <c r="H11" s="43" t="s">
        <v>288</v>
      </c>
      <c r="I11" s="44"/>
      <c r="J11" s="63"/>
      <c r="K11" s="47"/>
      <c r="L11" s="45"/>
      <c r="M11" s="46"/>
      <c r="N11" s="7"/>
      <c r="O11" s="5"/>
      <c r="P11" s="6"/>
      <c r="Q11" s="10"/>
      <c r="R11" s="10"/>
    </row>
    <row r="12" spans="1:18" ht="15" customHeight="1" x14ac:dyDescent="0.35">
      <c r="A12" s="51" t="s">
        <v>155</v>
      </c>
      <c r="B12" s="49" t="s">
        <v>36</v>
      </c>
      <c r="C12" s="50" t="s">
        <v>26</v>
      </c>
      <c r="D12" s="52" t="s">
        <v>285</v>
      </c>
      <c r="E12" s="52">
        <v>23563</v>
      </c>
      <c r="F12" s="60" t="s">
        <v>292</v>
      </c>
      <c r="G12" s="61" t="s">
        <v>385</v>
      </c>
      <c r="H12" s="56"/>
      <c r="I12" s="57"/>
      <c r="J12" s="61" t="s">
        <v>385</v>
      </c>
      <c r="K12" s="53" t="s">
        <v>286</v>
      </c>
      <c r="L12" s="69" t="s">
        <v>387</v>
      </c>
      <c r="M12" s="48">
        <v>149999.98000000001</v>
      </c>
      <c r="N12" s="7"/>
      <c r="O12" s="5"/>
      <c r="P12" s="6"/>
      <c r="Q12" s="10"/>
      <c r="R12" s="10"/>
    </row>
    <row r="13" spans="1:18" ht="15" customHeight="1" x14ac:dyDescent="0.35">
      <c r="A13" s="51" t="s">
        <v>156</v>
      </c>
      <c r="B13" s="49" t="s">
        <v>37</v>
      </c>
      <c r="C13" s="50" t="s">
        <v>26</v>
      </c>
      <c r="D13" s="52" t="s">
        <v>284</v>
      </c>
      <c r="E13" s="52">
        <v>24223</v>
      </c>
      <c r="F13" s="60">
        <v>32935</v>
      </c>
      <c r="G13" s="61" t="s">
        <v>385</v>
      </c>
      <c r="H13" s="56"/>
      <c r="I13" s="57"/>
      <c r="J13" s="62" t="s">
        <v>385</v>
      </c>
      <c r="K13" s="53" t="s">
        <v>286</v>
      </c>
      <c r="L13" s="69" t="s">
        <v>387</v>
      </c>
      <c r="M13" s="48">
        <v>37960</v>
      </c>
      <c r="N13" s="7"/>
      <c r="O13" s="5"/>
      <c r="P13" s="6"/>
      <c r="Q13" s="10"/>
      <c r="R13" s="10"/>
    </row>
    <row r="14" spans="1:18" ht="15" customHeight="1" x14ac:dyDescent="0.35">
      <c r="A14" s="51" t="s">
        <v>157</v>
      </c>
      <c r="B14" s="49" t="s">
        <v>38</v>
      </c>
      <c r="C14" s="50" t="s">
        <v>26</v>
      </c>
      <c r="D14" s="52" t="s">
        <v>285</v>
      </c>
      <c r="E14" s="52">
        <v>23444</v>
      </c>
      <c r="F14" s="60" t="s">
        <v>293</v>
      </c>
      <c r="G14" s="61" t="s">
        <v>385</v>
      </c>
      <c r="H14" s="56"/>
      <c r="I14" s="57"/>
      <c r="J14" s="61" t="s">
        <v>385</v>
      </c>
      <c r="K14" s="53" t="s">
        <v>286</v>
      </c>
      <c r="L14" s="69" t="s">
        <v>387</v>
      </c>
      <c r="M14" s="48">
        <v>400000</v>
      </c>
      <c r="N14" s="7"/>
      <c r="O14" s="5"/>
      <c r="P14" s="6"/>
      <c r="Q14" s="10"/>
      <c r="R14" s="10"/>
    </row>
    <row r="15" spans="1:18" ht="15" customHeight="1" x14ac:dyDescent="0.35">
      <c r="A15" s="51" t="s">
        <v>158</v>
      </c>
      <c r="B15" s="49" t="s">
        <v>39</v>
      </c>
      <c r="C15" s="50" t="s">
        <v>26</v>
      </c>
      <c r="D15" s="52" t="s">
        <v>285</v>
      </c>
      <c r="E15" s="52">
        <v>27901</v>
      </c>
      <c r="F15" s="60" t="s">
        <v>294</v>
      </c>
      <c r="G15" s="61" t="s">
        <v>385</v>
      </c>
      <c r="H15" s="56"/>
      <c r="I15" s="57"/>
      <c r="J15" s="61" t="s">
        <v>385</v>
      </c>
      <c r="K15" s="53" t="s">
        <v>286</v>
      </c>
      <c r="L15" s="69" t="s">
        <v>387</v>
      </c>
      <c r="M15" s="48">
        <v>47840</v>
      </c>
      <c r="N15" s="7"/>
      <c r="O15" s="5"/>
      <c r="P15" s="6"/>
      <c r="Q15" s="10"/>
      <c r="R15" s="10"/>
    </row>
    <row r="16" spans="1:18" ht="15" customHeight="1" x14ac:dyDescent="0.35">
      <c r="A16" s="51" t="s">
        <v>159</v>
      </c>
      <c r="B16" s="49" t="s">
        <v>40</v>
      </c>
      <c r="C16" s="50" t="s">
        <v>26</v>
      </c>
      <c r="D16" s="52" t="s">
        <v>284</v>
      </c>
      <c r="E16" s="52">
        <v>18259</v>
      </c>
      <c r="F16" s="60">
        <v>32905</v>
      </c>
      <c r="G16" s="61" t="s">
        <v>385</v>
      </c>
      <c r="H16" s="56"/>
      <c r="I16" s="57"/>
      <c r="J16" s="61" t="s">
        <v>385</v>
      </c>
      <c r="K16" s="53" t="s">
        <v>286</v>
      </c>
      <c r="L16" s="68" t="s">
        <v>386</v>
      </c>
      <c r="M16" s="48">
        <v>26000</v>
      </c>
      <c r="N16" s="7"/>
      <c r="O16" s="5"/>
      <c r="P16" s="6"/>
      <c r="Q16" s="10"/>
      <c r="R16" s="10"/>
    </row>
    <row r="17" spans="1:18" ht="15" customHeight="1" x14ac:dyDescent="0.35">
      <c r="A17" s="51" t="s">
        <v>160</v>
      </c>
      <c r="B17" s="49" t="s">
        <v>41</v>
      </c>
      <c r="C17" s="50" t="s">
        <v>28</v>
      </c>
      <c r="D17" s="52" t="s">
        <v>285</v>
      </c>
      <c r="E17" s="52">
        <v>24810</v>
      </c>
      <c r="F17" s="60" t="s">
        <v>295</v>
      </c>
      <c r="G17" s="61" t="s">
        <v>385</v>
      </c>
      <c r="H17" s="56"/>
      <c r="I17" s="57"/>
      <c r="J17" s="61" t="s">
        <v>385</v>
      </c>
      <c r="K17" s="53" t="s">
        <v>286</v>
      </c>
      <c r="L17" s="69" t="s">
        <v>387</v>
      </c>
      <c r="M17" s="48">
        <v>87360</v>
      </c>
      <c r="N17" s="7"/>
      <c r="O17" s="5"/>
      <c r="P17" s="6"/>
      <c r="Q17" s="10"/>
      <c r="R17" s="10"/>
    </row>
    <row r="18" spans="1:18" ht="15" customHeight="1" x14ac:dyDescent="0.35">
      <c r="A18" s="38" t="s">
        <v>161</v>
      </c>
      <c r="B18" s="39" t="s">
        <v>41</v>
      </c>
      <c r="C18" s="40"/>
      <c r="D18" s="41" t="s">
        <v>285</v>
      </c>
      <c r="E18" s="41">
        <v>41823</v>
      </c>
      <c r="F18" s="59"/>
      <c r="G18" s="42"/>
      <c r="H18" s="43" t="s">
        <v>288</v>
      </c>
      <c r="I18" s="44"/>
      <c r="J18" s="42"/>
      <c r="K18" s="47"/>
      <c r="L18" s="45"/>
      <c r="M18" s="46"/>
      <c r="N18" s="7"/>
      <c r="O18" s="5"/>
      <c r="P18" s="6"/>
      <c r="Q18" s="10"/>
      <c r="R18" s="10"/>
    </row>
    <row r="19" spans="1:18" ht="15" customHeight="1" x14ac:dyDescent="0.35">
      <c r="A19" s="51" t="s">
        <v>162</v>
      </c>
      <c r="B19" s="49" t="s">
        <v>42</v>
      </c>
      <c r="C19" s="50" t="s">
        <v>26</v>
      </c>
      <c r="D19" s="52" t="s">
        <v>284</v>
      </c>
      <c r="E19" s="52">
        <v>33565</v>
      </c>
      <c r="F19" s="60" t="s">
        <v>296</v>
      </c>
      <c r="G19" s="61" t="s">
        <v>385</v>
      </c>
      <c r="H19" s="56"/>
      <c r="I19" s="57"/>
      <c r="J19" s="61" t="s">
        <v>385</v>
      </c>
      <c r="K19" s="53" t="s">
        <v>286</v>
      </c>
      <c r="L19" s="69" t="s">
        <v>387</v>
      </c>
      <c r="M19" s="48">
        <v>39520</v>
      </c>
      <c r="N19" s="7"/>
      <c r="O19" s="5"/>
      <c r="P19" s="6"/>
      <c r="Q19" s="10"/>
      <c r="R19" s="10"/>
    </row>
    <row r="20" spans="1:18" ht="15" customHeight="1" x14ac:dyDescent="0.35">
      <c r="A20" s="51" t="s">
        <v>163</v>
      </c>
      <c r="B20" s="49" t="s">
        <v>43</v>
      </c>
      <c r="C20" s="50" t="s">
        <v>388</v>
      </c>
      <c r="D20" s="52" t="s">
        <v>284</v>
      </c>
      <c r="E20" s="52">
        <v>34030</v>
      </c>
      <c r="F20" s="60" t="s">
        <v>297</v>
      </c>
      <c r="G20" s="61" t="s">
        <v>385</v>
      </c>
      <c r="H20" s="56"/>
      <c r="I20" s="57"/>
      <c r="J20" s="61" t="s">
        <v>385</v>
      </c>
      <c r="K20" s="53"/>
      <c r="L20" s="69" t="s">
        <v>387</v>
      </c>
      <c r="M20" s="48">
        <v>35360</v>
      </c>
      <c r="N20" s="7"/>
      <c r="O20" s="5"/>
      <c r="P20" s="6"/>
      <c r="Q20" s="10"/>
      <c r="R20" s="10"/>
    </row>
    <row r="21" spans="1:18" ht="15" customHeight="1" x14ac:dyDescent="0.35">
      <c r="A21" s="51" t="s">
        <v>164</v>
      </c>
      <c r="B21" s="49" t="s">
        <v>44</v>
      </c>
      <c r="C21" s="50" t="s">
        <v>388</v>
      </c>
      <c r="D21" s="52" t="s">
        <v>284</v>
      </c>
      <c r="E21" s="52">
        <v>25572</v>
      </c>
      <c r="F21" s="60" t="s">
        <v>298</v>
      </c>
      <c r="G21" s="61" t="s">
        <v>385</v>
      </c>
      <c r="H21" s="56"/>
      <c r="I21" s="57"/>
      <c r="J21" s="61" t="s">
        <v>385</v>
      </c>
      <c r="K21" s="53"/>
      <c r="L21" s="69" t="s">
        <v>387</v>
      </c>
      <c r="M21" s="48">
        <v>220000</v>
      </c>
      <c r="N21" s="7"/>
      <c r="O21" s="5"/>
      <c r="P21" s="6"/>
      <c r="Q21" s="10"/>
      <c r="R21" s="10"/>
    </row>
    <row r="22" spans="1:18" ht="15" customHeight="1" x14ac:dyDescent="0.35">
      <c r="A22" s="51" t="s">
        <v>166</v>
      </c>
      <c r="B22" s="49" t="s">
        <v>45</v>
      </c>
      <c r="C22" s="50" t="s">
        <v>388</v>
      </c>
      <c r="D22" s="52" t="s">
        <v>284</v>
      </c>
      <c r="E22" s="52">
        <v>33937</v>
      </c>
      <c r="F22" s="60" t="s">
        <v>299</v>
      </c>
      <c r="G22" s="61" t="s">
        <v>385</v>
      </c>
      <c r="H22" s="56"/>
      <c r="I22" s="57"/>
      <c r="J22" s="61" t="s">
        <v>385</v>
      </c>
      <c r="K22" s="53"/>
      <c r="L22" s="69" t="s">
        <v>387</v>
      </c>
      <c r="M22" s="48">
        <v>36400</v>
      </c>
      <c r="N22" s="7"/>
      <c r="O22" s="5"/>
      <c r="P22" s="6"/>
      <c r="Q22" s="10"/>
      <c r="R22" s="10"/>
    </row>
    <row r="23" spans="1:18" ht="15" customHeight="1" x14ac:dyDescent="0.35">
      <c r="A23" s="51" t="s">
        <v>167</v>
      </c>
      <c r="B23" s="49" t="s">
        <v>46</v>
      </c>
      <c r="C23" s="50" t="s">
        <v>26</v>
      </c>
      <c r="D23" s="52" t="s">
        <v>284</v>
      </c>
      <c r="E23" s="52">
        <v>27027</v>
      </c>
      <c r="F23" s="60" t="s">
        <v>300</v>
      </c>
      <c r="G23" s="61" t="s">
        <v>385</v>
      </c>
      <c r="H23" s="56"/>
      <c r="I23" s="57"/>
      <c r="J23" s="61" t="s">
        <v>385</v>
      </c>
      <c r="K23" s="53" t="s">
        <v>286</v>
      </c>
      <c r="L23" s="69" t="s">
        <v>387</v>
      </c>
      <c r="M23" s="48">
        <v>39000</v>
      </c>
      <c r="N23" s="7"/>
      <c r="O23" s="5"/>
      <c r="P23" s="6"/>
      <c r="Q23" s="10"/>
      <c r="R23" s="10"/>
    </row>
    <row r="24" spans="1:18" ht="15" customHeight="1" x14ac:dyDescent="0.35">
      <c r="A24" s="51" t="s">
        <v>168</v>
      </c>
      <c r="B24" s="49" t="s">
        <v>47</v>
      </c>
      <c r="C24" s="50" t="s">
        <v>26</v>
      </c>
      <c r="D24" s="52" t="s">
        <v>284</v>
      </c>
      <c r="E24" s="52">
        <v>29010</v>
      </c>
      <c r="F24" s="60" t="s">
        <v>301</v>
      </c>
      <c r="G24" s="61" t="s">
        <v>385</v>
      </c>
      <c r="H24" s="56"/>
      <c r="I24" s="57"/>
      <c r="J24" s="61" t="s">
        <v>385</v>
      </c>
      <c r="K24" s="53" t="s">
        <v>286</v>
      </c>
      <c r="L24" s="69" t="s">
        <v>387</v>
      </c>
      <c r="M24" s="48">
        <v>43680</v>
      </c>
      <c r="N24" s="7"/>
      <c r="O24" s="5"/>
      <c r="P24" s="6"/>
      <c r="Q24" s="10"/>
      <c r="R24" s="10"/>
    </row>
    <row r="25" spans="1:18" ht="15" customHeight="1" x14ac:dyDescent="0.35">
      <c r="A25" s="51" t="s">
        <v>169</v>
      </c>
      <c r="B25" s="49" t="s">
        <v>48</v>
      </c>
      <c r="C25" s="50" t="s">
        <v>27</v>
      </c>
      <c r="D25" s="52" t="s">
        <v>285</v>
      </c>
      <c r="E25" s="52">
        <v>23004</v>
      </c>
      <c r="F25" s="60" t="s">
        <v>302</v>
      </c>
      <c r="G25" s="61" t="s">
        <v>385</v>
      </c>
      <c r="H25" s="56"/>
      <c r="I25" s="57"/>
      <c r="J25" s="61" t="s">
        <v>385</v>
      </c>
      <c r="K25" s="53" t="s">
        <v>286</v>
      </c>
      <c r="L25" s="69" t="s">
        <v>387</v>
      </c>
      <c r="M25" s="48">
        <v>500000</v>
      </c>
      <c r="N25" s="7"/>
      <c r="O25" s="5"/>
      <c r="P25" s="6"/>
      <c r="Q25" s="10"/>
      <c r="R25" s="10"/>
    </row>
    <row r="26" spans="1:18" ht="15" customHeight="1" x14ac:dyDescent="0.35">
      <c r="A26" s="38" t="s">
        <v>170</v>
      </c>
      <c r="B26" s="39" t="s">
        <v>48</v>
      </c>
      <c r="C26" s="40"/>
      <c r="D26" s="41" t="s">
        <v>284</v>
      </c>
      <c r="E26" s="41">
        <v>22394</v>
      </c>
      <c r="F26" s="59"/>
      <c r="G26" s="42"/>
      <c r="H26" s="43" t="s">
        <v>287</v>
      </c>
      <c r="I26" s="44"/>
      <c r="J26" s="42"/>
      <c r="K26" s="47"/>
      <c r="L26" s="45"/>
      <c r="M26" s="46"/>
      <c r="N26" s="7"/>
      <c r="O26" s="5"/>
      <c r="P26" s="6"/>
      <c r="Q26" s="10"/>
      <c r="R26" s="10"/>
    </row>
    <row r="27" spans="1:18" ht="15" customHeight="1" x14ac:dyDescent="0.35">
      <c r="A27" s="51" t="s">
        <v>171</v>
      </c>
      <c r="B27" s="49" t="s">
        <v>49</v>
      </c>
      <c r="C27" s="50" t="s">
        <v>26</v>
      </c>
      <c r="D27" s="52" t="s">
        <v>284</v>
      </c>
      <c r="E27" s="52">
        <v>29710</v>
      </c>
      <c r="F27" s="60" t="s">
        <v>303</v>
      </c>
      <c r="G27" s="61" t="s">
        <v>385</v>
      </c>
      <c r="H27" s="56"/>
      <c r="I27" s="57"/>
      <c r="J27" s="61" t="s">
        <v>385</v>
      </c>
      <c r="K27" s="53" t="s">
        <v>286</v>
      </c>
      <c r="L27" s="69" t="s">
        <v>387</v>
      </c>
      <c r="M27" s="48">
        <v>35360</v>
      </c>
      <c r="N27" s="7"/>
      <c r="O27" s="5"/>
      <c r="P27" s="6"/>
      <c r="Q27" s="10"/>
      <c r="R27" s="10"/>
    </row>
    <row r="28" spans="1:18" ht="15" customHeight="1" x14ac:dyDescent="0.35">
      <c r="A28" s="51" t="s">
        <v>172</v>
      </c>
      <c r="B28" s="49" t="s">
        <v>50</v>
      </c>
      <c r="C28" s="50" t="s">
        <v>26</v>
      </c>
      <c r="D28" s="52" t="s">
        <v>284</v>
      </c>
      <c r="E28" s="52">
        <v>21751</v>
      </c>
      <c r="F28" s="60">
        <v>32934</v>
      </c>
      <c r="G28" s="61" t="s">
        <v>385</v>
      </c>
      <c r="H28" s="56"/>
      <c r="I28" s="57"/>
      <c r="J28" s="61" t="s">
        <v>385</v>
      </c>
      <c r="K28" s="53" t="s">
        <v>286</v>
      </c>
      <c r="L28" s="69" t="s">
        <v>387</v>
      </c>
      <c r="M28" s="48">
        <v>65520</v>
      </c>
      <c r="N28" s="7"/>
      <c r="O28" s="5"/>
      <c r="P28" s="6"/>
      <c r="Q28" s="10"/>
      <c r="R28" s="10"/>
    </row>
    <row r="29" spans="1:18" ht="15" customHeight="1" x14ac:dyDescent="0.35">
      <c r="A29" s="51" t="s">
        <v>174</v>
      </c>
      <c r="B29" s="49" t="s">
        <v>51</v>
      </c>
      <c r="C29" s="50" t="s">
        <v>26</v>
      </c>
      <c r="D29" s="52" t="s">
        <v>284</v>
      </c>
      <c r="E29" s="52">
        <v>32070</v>
      </c>
      <c r="F29" s="60" t="s">
        <v>304</v>
      </c>
      <c r="G29" s="61" t="s">
        <v>385</v>
      </c>
      <c r="H29" s="56"/>
      <c r="I29" s="57"/>
      <c r="J29" s="61" t="s">
        <v>385</v>
      </c>
      <c r="K29" s="53" t="s">
        <v>286</v>
      </c>
      <c r="L29" s="69" t="s">
        <v>387</v>
      </c>
      <c r="M29" s="48">
        <v>31200</v>
      </c>
      <c r="N29" s="7"/>
      <c r="O29" s="5"/>
      <c r="P29" s="6"/>
      <c r="Q29" s="10"/>
      <c r="R29" s="10"/>
    </row>
    <row r="30" spans="1:18" ht="15" customHeight="1" x14ac:dyDescent="0.35">
      <c r="A30" s="51" t="s">
        <v>175</v>
      </c>
      <c r="B30" s="49" t="s">
        <v>52</v>
      </c>
      <c r="C30" s="50" t="s">
        <v>26</v>
      </c>
      <c r="D30" s="52" t="s">
        <v>285</v>
      </c>
      <c r="E30" s="52">
        <v>20598</v>
      </c>
      <c r="F30" s="60" t="s">
        <v>305</v>
      </c>
      <c r="G30" s="61" t="s">
        <v>385</v>
      </c>
      <c r="H30" s="56"/>
      <c r="I30" s="57"/>
      <c r="J30" s="61" t="s">
        <v>385</v>
      </c>
      <c r="K30" s="53" t="s">
        <v>286</v>
      </c>
      <c r="L30" s="69" t="s">
        <v>387</v>
      </c>
      <c r="M30" s="48">
        <v>52000</v>
      </c>
      <c r="N30" s="7"/>
      <c r="O30" s="5"/>
      <c r="P30" s="6"/>
      <c r="Q30" s="10"/>
      <c r="R30" s="10"/>
    </row>
    <row r="31" spans="1:18" ht="15" customHeight="1" x14ac:dyDescent="0.35">
      <c r="A31" s="51" t="s">
        <v>157</v>
      </c>
      <c r="B31" s="49" t="s">
        <v>53</v>
      </c>
      <c r="C31" s="50" t="s">
        <v>388</v>
      </c>
      <c r="D31" s="52" t="s">
        <v>285</v>
      </c>
      <c r="E31" s="52">
        <v>36627</v>
      </c>
      <c r="F31" s="60" t="s">
        <v>306</v>
      </c>
      <c r="G31" s="61" t="s">
        <v>385</v>
      </c>
      <c r="H31" s="56"/>
      <c r="I31" s="57"/>
      <c r="J31" s="61" t="s">
        <v>385</v>
      </c>
      <c r="K31" s="53"/>
      <c r="L31" s="69" t="s">
        <v>387</v>
      </c>
      <c r="M31" s="48">
        <v>38480</v>
      </c>
      <c r="N31" s="7"/>
      <c r="O31" s="5"/>
      <c r="P31" s="6"/>
      <c r="Q31" s="10"/>
      <c r="R31" s="10"/>
    </row>
    <row r="32" spans="1:18" ht="15" customHeight="1" x14ac:dyDescent="0.35">
      <c r="A32" s="51" t="s">
        <v>176</v>
      </c>
      <c r="B32" s="49" t="s">
        <v>54</v>
      </c>
      <c r="C32" s="50" t="s">
        <v>28</v>
      </c>
      <c r="D32" s="52" t="s">
        <v>284</v>
      </c>
      <c r="E32" s="52">
        <v>30219</v>
      </c>
      <c r="F32" s="60" t="s">
        <v>307</v>
      </c>
      <c r="G32" s="61" t="s">
        <v>385</v>
      </c>
      <c r="H32" s="56"/>
      <c r="I32" s="57"/>
      <c r="J32" s="61" t="s">
        <v>385</v>
      </c>
      <c r="K32" s="53" t="s">
        <v>286</v>
      </c>
      <c r="L32" s="69" t="s">
        <v>387</v>
      </c>
      <c r="M32" s="48">
        <v>37440</v>
      </c>
      <c r="N32" s="7"/>
      <c r="O32" s="5"/>
      <c r="P32" s="6"/>
      <c r="Q32" s="10"/>
      <c r="R32" s="10"/>
    </row>
    <row r="33" spans="1:18" ht="15" customHeight="1" x14ac:dyDescent="0.35">
      <c r="A33" s="38" t="s">
        <v>177</v>
      </c>
      <c r="B33" s="39" t="s">
        <v>54</v>
      </c>
      <c r="C33" s="40"/>
      <c r="D33" s="41" t="s">
        <v>285</v>
      </c>
      <c r="E33" s="41">
        <v>38323</v>
      </c>
      <c r="F33" s="59"/>
      <c r="G33" s="42"/>
      <c r="H33" s="43" t="s">
        <v>288</v>
      </c>
      <c r="I33" s="44"/>
      <c r="J33" s="42"/>
      <c r="K33" s="47"/>
      <c r="L33" s="45"/>
      <c r="M33" s="46"/>
      <c r="N33" s="7"/>
      <c r="O33" s="5"/>
      <c r="P33" s="6"/>
      <c r="Q33" s="10"/>
      <c r="R33" s="10"/>
    </row>
    <row r="34" spans="1:18" ht="15" customHeight="1" x14ac:dyDescent="0.35">
      <c r="A34" s="38" t="s">
        <v>178</v>
      </c>
      <c r="B34" s="39" t="s">
        <v>54</v>
      </c>
      <c r="C34" s="40"/>
      <c r="D34" s="41" t="s">
        <v>284</v>
      </c>
      <c r="E34" s="41">
        <v>43174</v>
      </c>
      <c r="F34" s="59"/>
      <c r="G34" s="42"/>
      <c r="H34" s="43" t="s">
        <v>288</v>
      </c>
      <c r="I34" s="44"/>
      <c r="J34" s="42"/>
      <c r="K34" s="47"/>
      <c r="L34" s="45"/>
      <c r="M34" s="46"/>
      <c r="N34" s="7"/>
      <c r="O34" s="5"/>
      <c r="P34" s="6"/>
      <c r="Q34" s="10"/>
      <c r="R34" s="10"/>
    </row>
    <row r="35" spans="1:18" ht="15" customHeight="1" x14ac:dyDescent="0.35">
      <c r="A35" s="51" t="s">
        <v>179</v>
      </c>
      <c r="B35" s="49" t="s">
        <v>55</v>
      </c>
      <c r="C35" s="50" t="s">
        <v>28</v>
      </c>
      <c r="D35" s="52" t="s">
        <v>284</v>
      </c>
      <c r="E35" s="52">
        <v>26723</v>
      </c>
      <c r="F35" s="60" t="s">
        <v>308</v>
      </c>
      <c r="G35" s="61" t="s">
        <v>385</v>
      </c>
      <c r="H35" s="56"/>
      <c r="I35" s="57"/>
      <c r="J35" s="61" t="s">
        <v>385</v>
      </c>
      <c r="K35" s="53" t="s">
        <v>286</v>
      </c>
      <c r="L35" s="69" t="s">
        <v>387</v>
      </c>
      <c r="M35" s="48">
        <v>70000</v>
      </c>
      <c r="N35" s="7"/>
      <c r="O35" s="5"/>
      <c r="P35" s="6"/>
      <c r="Q35" s="10"/>
      <c r="R35" s="10"/>
    </row>
    <row r="36" spans="1:18" ht="15" customHeight="1" x14ac:dyDescent="0.35">
      <c r="A36" s="38" t="s">
        <v>181</v>
      </c>
      <c r="B36" s="39" t="s">
        <v>56</v>
      </c>
      <c r="C36" s="40"/>
      <c r="D36" s="41" t="s">
        <v>285</v>
      </c>
      <c r="E36" s="41">
        <v>38075</v>
      </c>
      <c r="F36" s="59"/>
      <c r="G36" s="42"/>
      <c r="H36" s="43" t="s">
        <v>288</v>
      </c>
      <c r="I36" s="44"/>
      <c r="J36" s="42"/>
      <c r="K36" s="47"/>
      <c r="L36" s="45"/>
      <c r="M36" s="46"/>
      <c r="N36" s="7"/>
      <c r="O36" s="5"/>
      <c r="P36" s="6"/>
      <c r="Q36" s="10"/>
      <c r="R36" s="10"/>
    </row>
    <row r="37" spans="1:18" ht="15" customHeight="1" x14ac:dyDescent="0.35">
      <c r="A37" s="38" t="s">
        <v>182</v>
      </c>
      <c r="B37" s="39" t="s">
        <v>56</v>
      </c>
      <c r="C37" s="40"/>
      <c r="D37" s="41" t="s">
        <v>285</v>
      </c>
      <c r="E37" s="41">
        <v>38939</v>
      </c>
      <c r="F37" s="59"/>
      <c r="G37" s="42"/>
      <c r="H37" s="43" t="s">
        <v>288</v>
      </c>
      <c r="I37" s="44"/>
      <c r="J37" s="42"/>
      <c r="K37" s="47"/>
      <c r="L37" s="45"/>
      <c r="M37" s="46"/>
      <c r="N37" s="7"/>
      <c r="O37" s="5"/>
      <c r="P37" s="6"/>
      <c r="Q37" s="10"/>
      <c r="R37" s="10"/>
    </row>
    <row r="38" spans="1:18" ht="15" customHeight="1" x14ac:dyDescent="0.35">
      <c r="A38" s="51" t="s">
        <v>183</v>
      </c>
      <c r="B38" s="49" t="s">
        <v>57</v>
      </c>
      <c r="C38" s="50" t="s">
        <v>26</v>
      </c>
      <c r="D38" s="52" t="s">
        <v>285</v>
      </c>
      <c r="E38" s="52">
        <v>20497</v>
      </c>
      <c r="F38" s="60" t="s">
        <v>309</v>
      </c>
      <c r="G38" s="61" t="s">
        <v>385</v>
      </c>
      <c r="H38" s="56"/>
      <c r="I38" s="57"/>
      <c r="J38" s="61" t="s">
        <v>385</v>
      </c>
      <c r="K38" s="53" t="s">
        <v>286</v>
      </c>
      <c r="L38" s="69" t="s">
        <v>387</v>
      </c>
      <c r="M38" s="48">
        <v>390000</v>
      </c>
      <c r="N38" s="7"/>
      <c r="O38" s="5"/>
      <c r="P38" s="6"/>
      <c r="Q38" s="10"/>
      <c r="R38" s="10"/>
    </row>
    <row r="39" spans="1:18" ht="15" customHeight="1" x14ac:dyDescent="0.35">
      <c r="A39" s="51" t="s">
        <v>184</v>
      </c>
      <c r="B39" s="49" t="s">
        <v>58</v>
      </c>
      <c r="C39" s="50" t="s">
        <v>388</v>
      </c>
      <c r="D39" s="52" t="s">
        <v>284</v>
      </c>
      <c r="E39" s="52">
        <v>37148</v>
      </c>
      <c r="F39" s="60" t="s">
        <v>310</v>
      </c>
      <c r="G39" s="61" t="s">
        <v>385</v>
      </c>
      <c r="H39" s="56"/>
      <c r="I39" s="57"/>
      <c r="J39" s="61" t="s">
        <v>385</v>
      </c>
      <c r="K39" s="53"/>
      <c r="L39" s="69" t="s">
        <v>387</v>
      </c>
      <c r="M39" s="48">
        <v>35360</v>
      </c>
      <c r="N39" s="7"/>
      <c r="O39" s="5"/>
      <c r="P39" s="6"/>
      <c r="Q39" s="10"/>
      <c r="R39" s="10"/>
    </row>
    <row r="40" spans="1:18" ht="15" customHeight="1" x14ac:dyDescent="0.35">
      <c r="A40" s="51" t="s">
        <v>185</v>
      </c>
      <c r="B40" s="49" t="s">
        <v>59</v>
      </c>
      <c r="C40" s="50" t="s">
        <v>26</v>
      </c>
      <c r="D40" s="52" t="s">
        <v>284</v>
      </c>
      <c r="E40" s="52">
        <v>22698</v>
      </c>
      <c r="F40" s="60" t="s">
        <v>311</v>
      </c>
      <c r="G40" s="61" t="s">
        <v>385</v>
      </c>
      <c r="H40" s="56"/>
      <c r="I40" s="57"/>
      <c r="J40" s="61" t="s">
        <v>385</v>
      </c>
      <c r="K40" s="53" t="s">
        <v>286</v>
      </c>
      <c r="L40" s="69" t="s">
        <v>387</v>
      </c>
      <c r="M40" s="48">
        <v>89440</v>
      </c>
      <c r="N40" s="7"/>
      <c r="O40" s="5"/>
      <c r="P40" s="6"/>
      <c r="Q40" s="10"/>
      <c r="R40" s="10"/>
    </row>
    <row r="41" spans="1:18" ht="15" customHeight="1" x14ac:dyDescent="0.35">
      <c r="A41" s="51" t="s">
        <v>186</v>
      </c>
      <c r="B41" s="49" t="s">
        <v>60</v>
      </c>
      <c r="C41" s="50" t="s">
        <v>26</v>
      </c>
      <c r="D41" s="52" t="s">
        <v>285</v>
      </c>
      <c r="E41" s="52">
        <v>27392</v>
      </c>
      <c r="F41" s="60" t="s">
        <v>312</v>
      </c>
      <c r="G41" s="61" t="s">
        <v>385</v>
      </c>
      <c r="H41" s="56"/>
      <c r="I41" s="57"/>
      <c r="J41" s="61" t="s">
        <v>385</v>
      </c>
      <c r="K41" s="53" t="s">
        <v>286</v>
      </c>
      <c r="L41" s="68" t="s">
        <v>386</v>
      </c>
      <c r="M41" s="48">
        <v>26000</v>
      </c>
      <c r="N41" s="7"/>
      <c r="O41" s="5"/>
      <c r="P41" s="6"/>
      <c r="Q41" s="10"/>
      <c r="R41" s="10"/>
    </row>
    <row r="42" spans="1:18" ht="15" customHeight="1" x14ac:dyDescent="0.35">
      <c r="A42" s="51" t="s">
        <v>165</v>
      </c>
      <c r="B42" s="49" t="s">
        <v>61</v>
      </c>
      <c r="C42" s="50" t="s">
        <v>26</v>
      </c>
      <c r="D42" s="52" t="s">
        <v>284</v>
      </c>
      <c r="E42" s="52">
        <v>28583</v>
      </c>
      <c r="F42" s="60" t="s">
        <v>313</v>
      </c>
      <c r="G42" s="61" t="s">
        <v>385</v>
      </c>
      <c r="H42" s="56"/>
      <c r="I42" s="57"/>
      <c r="J42" s="61" t="s">
        <v>385</v>
      </c>
      <c r="K42" s="53" t="s">
        <v>286</v>
      </c>
      <c r="L42" s="69" t="s">
        <v>387</v>
      </c>
      <c r="M42" s="48">
        <v>34840</v>
      </c>
      <c r="N42" s="7"/>
      <c r="O42" s="5"/>
      <c r="P42" s="6"/>
      <c r="Q42" s="10"/>
      <c r="R42" s="10"/>
    </row>
    <row r="43" spans="1:18" ht="15" customHeight="1" x14ac:dyDescent="0.35">
      <c r="A43" s="51" t="s">
        <v>187</v>
      </c>
      <c r="B43" s="49" t="s">
        <v>62</v>
      </c>
      <c r="C43" s="50" t="s">
        <v>26</v>
      </c>
      <c r="D43" s="52" t="s">
        <v>284</v>
      </c>
      <c r="E43" s="52">
        <v>38293</v>
      </c>
      <c r="F43" s="60" t="s">
        <v>314</v>
      </c>
      <c r="G43" s="61" t="s">
        <v>385</v>
      </c>
      <c r="H43" s="56"/>
      <c r="I43" s="57"/>
      <c r="J43" s="61" t="s">
        <v>385</v>
      </c>
      <c r="K43" s="53" t="s">
        <v>286</v>
      </c>
      <c r="L43" s="69" t="s">
        <v>387</v>
      </c>
      <c r="M43" s="48">
        <v>36400</v>
      </c>
      <c r="N43" s="7"/>
      <c r="O43" s="5"/>
      <c r="P43" s="6"/>
      <c r="Q43" s="10"/>
      <c r="R43" s="10"/>
    </row>
    <row r="44" spans="1:18" ht="15" customHeight="1" x14ac:dyDescent="0.35">
      <c r="A44" s="51" t="s">
        <v>188</v>
      </c>
      <c r="B44" s="49" t="s">
        <v>63</v>
      </c>
      <c r="C44" s="50" t="s">
        <v>388</v>
      </c>
      <c r="D44" s="52" t="s">
        <v>284</v>
      </c>
      <c r="E44" s="52">
        <v>28391</v>
      </c>
      <c r="F44" s="60" t="s">
        <v>315</v>
      </c>
      <c r="G44" s="61" t="s">
        <v>385</v>
      </c>
      <c r="H44" s="56"/>
      <c r="I44" s="57"/>
      <c r="J44" s="61" t="s">
        <v>385</v>
      </c>
      <c r="K44" s="53"/>
      <c r="L44" s="69" t="s">
        <v>387</v>
      </c>
      <c r="M44" s="48">
        <v>33280</v>
      </c>
      <c r="N44" s="7"/>
      <c r="O44" s="5"/>
      <c r="P44" s="6"/>
      <c r="Q44" s="10"/>
      <c r="R44" s="10"/>
    </row>
    <row r="45" spans="1:18" ht="15" customHeight="1" x14ac:dyDescent="0.35">
      <c r="A45" s="51" t="s">
        <v>189</v>
      </c>
      <c r="B45" s="49" t="s">
        <v>64</v>
      </c>
      <c r="C45" s="50" t="s">
        <v>388</v>
      </c>
      <c r="D45" s="52" t="s">
        <v>284</v>
      </c>
      <c r="E45" s="52">
        <v>34111</v>
      </c>
      <c r="F45" s="60" t="s">
        <v>316</v>
      </c>
      <c r="G45" s="61" t="s">
        <v>385</v>
      </c>
      <c r="H45" s="56"/>
      <c r="I45" s="57"/>
      <c r="J45" s="61" t="s">
        <v>385</v>
      </c>
      <c r="K45" s="53"/>
      <c r="L45" s="69" t="s">
        <v>387</v>
      </c>
      <c r="M45" s="48">
        <v>37440</v>
      </c>
      <c r="N45" s="7"/>
      <c r="O45" s="5"/>
      <c r="P45" s="6"/>
      <c r="Q45" s="10"/>
      <c r="R45" s="10"/>
    </row>
    <row r="46" spans="1:18" ht="15" customHeight="1" x14ac:dyDescent="0.35">
      <c r="A46" s="51" t="s">
        <v>190</v>
      </c>
      <c r="B46" s="49" t="s">
        <v>65</v>
      </c>
      <c r="C46" s="50" t="s">
        <v>26</v>
      </c>
      <c r="D46" s="52" t="s">
        <v>285</v>
      </c>
      <c r="E46" s="52">
        <v>22858</v>
      </c>
      <c r="F46" s="60" t="s">
        <v>317</v>
      </c>
      <c r="G46" s="61" t="s">
        <v>385</v>
      </c>
      <c r="H46" s="56"/>
      <c r="I46" s="57"/>
      <c r="J46" s="61" t="s">
        <v>385</v>
      </c>
      <c r="K46" s="53" t="s">
        <v>286</v>
      </c>
      <c r="L46" s="69" t="s">
        <v>387</v>
      </c>
      <c r="M46" s="48">
        <v>71500</v>
      </c>
      <c r="N46" s="7"/>
      <c r="O46" s="5"/>
      <c r="P46" s="6"/>
      <c r="Q46" s="10"/>
      <c r="R46" s="10"/>
    </row>
    <row r="47" spans="1:18" ht="15" customHeight="1" x14ac:dyDescent="0.35">
      <c r="A47" s="51" t="s">
        <v>191</v>
      </c>
      <c r="B47" s="49" t="s">
        <v>66</v>
      </c>
      <c r="C47" s="50" t="s">
        <v>388</v>
      </c>
      <c r="D47" s="52" t="s">
        <v>284</v>
      </c>
      <c r="E47" s="52">
        <v>35842</v>
      </c>
      <c r="F47" s="60" t="s">
        <v>318</v>
      </c>
      <c r="G47" s="61" t="s">
        <v>385</v>
      </c>
      <c r="H47" s="56"/>
      <c r="I47" s="57"/>
      <c r="J47" s="61" t="s">
        <v>385</v>
      </c>
      <c r="K47" s="53"/>
      <c r="L47" s="69" t="s">
        <v>387</v>
      </c>
      <c r="M47" s="48">
        <v>35360</v>
      </c>
      <c r="N47" s="7"/>
      <c r="O47" s="5"/>
      <c r="P47" s="6"/>
      <c r="Q47" s="10"/>
      <c r="R47" s="10"/>
    </row>
    <row r="48" spans="1:18" ht="15" customHeight="1" x14ac:dyDescent="0.35">
      <c r="A48" s="51" t="s">
        <v>192</v>
      </c>
      <c r="B48" s="49" t="s">
        <v>67</v>
      </c>
      <c r="C48" s="50" t="s">
        <v>26</v>
      </c>
      <c r="D48" s="52" t="s">
        <v>284</v>
      </c>
      <c r="E48" s="52">
        <v>24497</v>
      </c>
      <c r="F48" s="60">
        <v>32909</v>
      </c>
      <c r="G48" s="61" t="s">
        <v>385</v>
      </c>
      <c r="H48" s="56"/>
      <c r="I48" s="57"/>
      <c r="J48" s="61" t="s">
        <v>385</v>
      </c>
      <c r="K48" s="53" t="s">
        <v>286</v>
      </c>
      <c r="L48" s="69" t="s">
        <v>387</v>
      </c>
      <c r="M48" s="48">
        <v>35360</v>
      </c>
      <c r="N48" s="7"/>
      <c r="O48" s="5"/>
      <c r="P48" s="6"/>
      <c r="Q48" s="10"/>
      <c r="R48" s="10"/>
    </row>
    <row r="49" spans="1:18" ht="15" customHeight="1" x14ac:dyDescent="0.35">
      <c r="A49" s="51" t="s">
        <v>193</v>
      </c>
      <c r="B49" s="49" t="s">
        <v>68</v>
      </c>
      <c r="C49" s="50" t="s">
        <v>26</v>
      </c>
      <c r="D49" s="52" t="s">
        <v>285</v>
      </c>
      <c r="E49" s="52">
        <v>35641</v>
      </c>
      <c r="F49" s="60" t="s">
        <v>319</v>
      </c>
      <c r="G49" s="61" t="s">
        <v>385</v>
      </c>
      <c r="H49" s="56"/>
      <c r="I49" s="57"/>
      <c r="J49" s="61" t="s">
        <v>385</v>
      </c>
      <c r="K49" s="53" t="s">
        <v>286</v>
      </c>
      <c r="L49" s="69" t="s">
        <v>387</v>
      </c>
      <c r="M49" s="48">
        <v>31200</v>
      </c>
      <c r="N49" s="7"/>
      <c r="O49" s="5"/>
      <c r="P49" s="6"/>
      <c r="Q49" s="10"/>
      <c r="R49" s="10"/>
    </row>
    <row r="50" spans="1:18" ht="15" customHeight="1" x14ac:dyDescent="0.35">
      <c r="A50" s="51" t="s">
        <v>194</v>
      </c>
      <c r="B50" s="49" t="s">
        <v>69</v>
      </c>
      <c r="C50" s="50" t="s">
        <v>26</v>
      </c>
      <c r="D50" s="52" t="s">
        <v>284</v>
      </c>
      <c r="E50" s="52">
        <v>25634</v>
      </c>
      <c r="F50" s="60" t="s">
        <v>320</v>
      </c>
      <c r="G50" s="61" t="s">
        <v>385</v>
      </c>
      <c r="H50" s="56"/>
      <c r="I50" s="57"/>
      <c r="J50" s="61" t="s">
        <v>385</v>
      </c>
      <c r="K50" s="53" t="s">
        <v>286</v>
      </c>
      <c r="L50" s="69" t="s">
        <v>387</v>
      </c>
      <c r="M50" s="48">
        <v>44720</v>
      </c>
      <c r="N50" s="7"/>
      <c r="O50" s="5"/>
      <c r="P50" s="6"/>
      <c r="Q50" s="10"/>
      <c r="R50" s="10"/>
    </row>
    <row r="51" spans="1:18" ht="15" customHeight="1" x14ac:dyDescent="0.35">
      <c r="A51" s="51" t="s">
        <v>195</v>
      </c>
      <c r="B51" s="49" t="s">
        <v>69</v>
      </c>
      <c r="C51" s="50" t="s">
        <v>26</v>
      </c>
      <c r="D51" s="52" t="s">
        <v>284</v>
      </c>
      <c r="E51" s="52">
        <v>36609</v>
      </c>
      <c r="F51" s="60" t="s">
        <v>321</v>
      </c>
      <c r="G51" s="61" t="s">
        <v>385</v>
      </c>
      <c r="H51" s="56"/>
      <c r="I51" s="57"/>
      <c r="J51" s="61" t="s">
        <v>385</v>
      </c>
      <c r="K51" s="53" t="s">
        <v>286</v>
      </c>
      <c r="L51" s="69" t="s">
        <v>387</v>
      </c>
      <c r="M51" s="48">
        <v>40560</v>
      </c>
      <c r="N51" s="7"/>
      <c r="O51" s="5"/>
      <c r="P51" s="6"/>
      <c r="Q51" s="10"/>
      <c r="R51" s="10"/>
    </row>
    <row r="52" spans="1:18" ht="15" customHeight="1" x14ac:dyDescent="0.35">
      <c r="A52" s="51" t="s">
        <v>196</v>
      </c>
      <c r="B52" s="49" t="s">
        <v>70</v>
      </c>
      <c r="C52" s="50" t="s">
        <v>26</v>
      </c>
      <c r="D52" s="52" t="s">
        <v>284</v>
      </c>
      <c r="E52" s="52">
        <v>33609</v>
      </c>
      <c r="F52" s="60" t="s">
        <v>322</v>
      </c>
      <c r="G52" s="61" t="s">
        <v>385</v>
      </c>
      <c r="H52" s="56"/>
      <c r="I52" s="57"/>
      <c r="J52" s="61" t="s">
        <v>385</v>
      </c>
      <c r="K52" s="53" t="s">
        <v>286</v>
      </c>
      <c r="L52" s="69" t="s">
        <v>387</v>
      </c>
      <c r="M52" s="48">
        <v>37440</v>
      </c>
      <c r="N52" s="7"/>
      <c r="O52" s="5"/>
      <c r="P52" s="6"/>
      <c r="Q52" s="10"/>
      <c r="R52" s="10"/>
    </row>
    <row r="53" spans="1:18" ht="15" customHeight="1" x14ac:dyDescent="0.35">
      <c r="A53" s="51" t="s">
        <v>197</v>
      </c>
      <c r="B53" s="49" t="s">
        <v>71</v>
      </c>
      <c r="C53" s="50" t="s">
        <v>284</v>
      </c>
      <c r="D53" s="52" t="s">
        <v>285</v>
      </c>
      <c r="E53" s="52">
        <v>25811</v>
      </c>
      <c r="F53" s="60" t="s">
        <v>323</v>
      </c>
      <c r="G53" s="61" t="s">
        <v>385</v>
      </c>
      <c r="H53" s="56"/>
      <c r="I53" s="57"/>
      <c r="J53" s="61" t="s">
        <v>385</v>
      </c>
      <c r="K53" s="53" t="s">
        <v>286</v>
      </c>
      <c r="L53" s="69" t="s">
        <v>387</v>
      </c>
      <c r="M53" s="48">
        <v>225000</v>
      </c>
      <c r="N53" s="7"/>
      <c r="O53" s="5"/>
      <c r="P53" s="6"/>
      <c r="Q53" s="10"/>
      <c r="R53" s="10"/>
    </row>
    <row r="54" spans="1:18" ht="15" customHeight="1" x14ac:dyDescent="0.35">
      <c r="A54" s="38" t="s">
        <v>198</v>
      </c>
      <c r="B54" s="39" t="s">
        <v>72</v>
      </c>
      <c r="C54" s="40"/>
      <c r="D54" s="41" t="s">
        <v>284</v>
      </c>
      <c r="E54" s="41">
        <v>29486</v>
      </c>
      <c r="F54" s="59"/>
      <c r="G54" s="42"/>
      <c r="H54" s="43" t="s">
        <v>287</v>
      </c>
      <c r="I54" s="44"/>
      <c r="J54" s="42"/>
      <c r="K54" s="47"/>
      <c r="L54" s="45"/>
      <c r="M54" s="46"/>
      <c r="N54" s="7"/>
      <c r="O54" s="5"/>
      <c r="P54" s="6"/>
      <c r="Q54" s="10"/>
      <c r="R54" s="10"/>
    </row>
    <row r="55" spans="1:18" ht="15" customHeight="1" x14ac:dyDescent="0.35">
      <c r="A55" s="38" t="s">
        <v>199</v>
      </c>
      <c r="B55" s="39" t="s">
        <v>73</v>
      </c>
      <c r="C55" s="40"/>
      <c r="D55" s="41" t="s">
        <v>285</v>
      </c>
      <c r="E55" s="41">
        <v>43440</v>
      </c>
      <c r="F55" s="59"/>
      <c r="G55" s="42"/>
      <c r="H55" s="43" t="s">
        <v>288</v>
      </c>
      <c r="I55" s="44"/>
      <c r="J55" s="42"/>
      <c r="K55" s="47"/>
      <c r="L55" s="45"/>
      <c r="M55" s="46"/>
      <c r="N55" s="7"/>
      <c r="O55" s="5"/>
      <c r="P55" s="6"/>
      <c r="Q55" s="10"/>
      <c r="R55" s="10"/>
    </row>
    <row r="56" spans="1:18" ht="15" customHeight="1" x14ac:dyDescent="0.35">
      <c r="A56" s="38" t="s">
        <v>200</v>
      </c>
      <c r="B56" s="39" t="s">
        <v>73</v>
      </c>
      <c r="C56" s="40"/>
      <c r="D56" s="41" t="s">
        <v>285</v>
      </c>
      <c r="E56" s="41">
        <v>40463</v>
      </c>
      <c r="F56" s="59"/>
      <c r="G56" s="42"/>
      <c r="H56" s="43" t="s">
        <v>288</v>
      </c>
      <c r="I56" s="44"/>
      <c r="J56" s="42"/>
      <c r="K56" s="47"/>
      <c r="L56" s="45"/>
      <c r="M56" s="46"/>
      <c r="N56" s="7"/>
      <c r="O56" s="5"/>
      <c r="P56" s="6"/>
      <c r="Q56" s="10"/>
      <c r="R56" s="10"/>
    </row>
    <row r="57" spans="1:18" ht="15" customHeight="1" x14ac:dyDescent="0.35">
      <c r="A57" s="51" t="s">
        <v>201</v>
      </c>
      <c r="B57" s="49" t="s">
        <v>74</v>
      </c>
      <c r="C57" s="50" t="s">
        <v>26</v>
      </c>
      <c r="D57" s="52" t="s">
        <v>284</v>
      </c>
      <c r="E57" s="52">
        <v>29965</v>
      </c>
      <c r="F57" s="60" t="s">
        <v>324</v>
      </c>
      <c r="G57" s="61" t="s">
        <v>385</v>
      </c>
      <c r="H57" s="56"/>
      <c r="I57" s="57"/>
      <c r="J57" s="61" t="s">
        <v>385</v>
      </c>
      <c r="K57" s="53" t="s">
        <v>286</v>
      </c>
      <c r="L57" s="69" t="s">
        <v>387</v>
      </c>
      <c r="M57" s="48">
        <v>33280</v>
      </c>
      <c r="N57" s="7"/>
      <c r="O57" s="5"/>
      <c r="P57" s="6"/>
      <c r="Q57" s="10"/>
      <c r="R57" s="10"/>
    </row>
    <row r="58" spans="1:18" ht="15" customHeight="1" x14ac:dyDescent="0.35">
      <c r="A58" s="51" t="s">
        <v>202</v>
      </c>
      <c r="B58" s="49" t="s">
        <v>75</v>
      </c>
      <c r="C58" s="50" t="s">
        <v>388</v>
      </c>
      <c r="D58" s="52" t="s">
        <v>284</v>
      </c>
      <c r="E58" s="52">
        <v>37295</v>
      </c>
      <c r="F58" s="60" t="s">
        <v>325</v>
      </c>
      <c r="G58" s="61" t="s">
        <v>385</v>
      </c>
      <c r="H58" s="56"/>
      <c r="I58" s="57"/>
      <c r="J58" s="61" t="s">
        <v>385</v>
      </c>
      <c r="K58" s="53"/>
      <c r="L58" s="69" t="s">
        <v>387</v>
      </c>
      <c r="M58" s="48">
        <v>33280</v>
      </c>
      <c r="N58" s="7"/>
      <c r="O58" s="5"/>
      <c r="P58" s="6"/>
      <c r="Q58" s="10"/>
      <c r="R58" s="10"/>
    </row>
    <row r="59" spans="1:18" ht="15" customHeight="1" x14ac:dyDescent="0.35">
      <c r="A59" s="51" t="s">
        <v>204</v>
      </c>
      <c r="B59" s="49" t="s">
        <v>76</v>
      </c>
      <c r="C59" s="50" t="s">
        <v>388</v>
      </c>
      <c r="D59" s="52" t="s">
        <v>284</v>
      </c>
      <c r="E59" s="52">
        <v>36229</v>
      </c>
      <c r="F59" s="60" t="s">
        <v>326</v>
      </c>
      <c r="G59" s="61" t="s">
        <v>385</v>
      </c>
      <c r="H59" s="56"/>
      <c r="I59" s="57"/>
      <c r="J59" s="61" t="s">
        <v>385</v>
      </c>
      <c r="K59" s="53"/>
      <c r="L59" s="69" t="s">
        <v>387</v>
      </c>
      <c r="M59" s="48">
        <v>34320</v>
      </c>
      <c r="N59" s="7"/>
      <c r="O59" s="5"/>
      <c r="P59" s="6"/>
      <c r="Q59" s="10"/>
      <c r="R59" s="10"/>
    </row>
    <row r="60" spans="1:18" ht="15" customHeight="1" x14ac:dyDescent="0.35">
      <c r="A60" s="51" t="s">
        <v>205</v>
      </c>
      <c r="B60" s="49" t="s">
        <v>77</v>
      </c>
      <c r="C60" s="50" t="s">
        <v>388</v>
      </c>
      <c r="D60" s="52" t="s">
        <v>284</v>
      </c>
      <c r="E60" s="52">
        <v>32161</v>
      </c>
      <c r="F60" s="60" t="s">
        <v>327</v>
      </c>
      <c r="G60" s="61" t="s">
        <v>385</v>
      </c>
      <c r="H60" s="56"/>
      <c r="I60" s="57"/>
      <c r="J60" s="61" t="s">
        <v>385</v>
      </c>
      <c r="K60" s="53"/>
      <c r="L60" s="69" t="s">
        <v>387</v>
      </c>
      <c r="M60" s="48">
        <v>36920</v>
      </c>
      <c r="N60" s="7"/>
      <c r="O60" s="5"/>
      <c r="P60" s="6"/>
      <c r="Q60" s="10"/>
      <c r="R60" s="10"/>
    </row>
    <row r="61" spans="1:18" ht="15" customHeight="1" x14ac:dyDescent="0.35">
      <c r="A61" s="51" t="s">
        <v>206</v>
      </c>
      <c r="B61" s="49" t="s">
        <v>78</v>
      </c>
      <c r="C61" s="50" t="s">
        <v>26</v>
      </c>
      <c r="D61" s="52" t="s">
        <v>284</v>
      </c>
      <c r="E61" s="52">
        <v>31749</v>
      </c>
      <c r="F61" s="60" t="s">
        <v>328</v>
      </c>
      <c r="G61" s="61" t="s">
        <v>385</v>
      </c>
      <c r="H61" s="56"/>
      <c r="I61" s="57"/>
      <c r="J61" s="61" t="s">
        <v>385</v>
      </c>
      <c r="K61" s="53" t="s">
        <v>286</v>
      </c>
      <c r="L61" s="68" t="s">
        <v>386</v>
      </c>
      <c r="M61" s="48">
        <v>28080</v>
      </c>
      <c r="N61" s="7"/>
      <c r="O61" s="5"/>
      <c r="P61" s="6"/>
      <c r="Q61" s="10"/>
      <c r="R61" s="10"/>
    </row>
    <row r="62" spans="1:18" ht="15" customHeight="1" x14ac:dyDescent="0.35">
      <c r="A62" s="51" t="s">
        <v>180</v>
      </c>
      <c r="B62" s="49" t="s">
        <v>56</v>
      </c>
      <c r="C62" s="50" t="s">
        <v>26</v>
      </c>
      <c r="D62" s="52" t="s">
        <v>285</v>
      </c>
      <c r="E62" s="52">
        <v>25119</v>
      </c>
      <c r="F62" s="60" t="s">
        <v>308</v>
      </c>
      <c r="G62" s="61" t="s">
        <v>385</v>
      </c>
      <c r="H62" s="56"/>
      <c r="I62" s="57"/>
      <c r="J62" s="61" t="s">
        <v>385</v>
      </c>
      <c r="K62" s="53" t="s">
        <v>286</v>
      </c>
      <c r="L62" s="68" t="s">
        <v>386</v>
      </c>
      <c r="M62" s="48">
        <v>0</v>
      </c>
      <c r="N62" s="7"/>
      <c r="O62" s="5"/>
      <c r="P62" s="6"/>
      <c r="Q62" s="10"/>
      <c r="R62" s="10"/>
    </row>
    <row r="63" spans="1:18" ht="15" customHeight="1" x14ac:dyDescent="0.35">
      <c r="A63" s="51" t="s">
        <v>208</v>
      </c>
      <c r="B63" s="49" t="s">
        <v>79</v>
      </c>
      <c r="C63" s="50" t="s">
        <v>27</v>
      </c>
      <c r="D63" s="52" t="s">
        <v>284</v>
      </c>
      <c r="E63" s="52">
        <v>26647</v>
      </c>
      <c r="F63" s="60">
        <v>32909</v>
      </c>
      <c r="G63" s="61" t="s">
        <v>385</v>
      </c>
      <c r="H63" s="56"/>
      <c r="I63" s="57"/>
      <c r="J63" s="61" t="s">
        <v>385</v>
      </c>
      <c r="K63" s="53" t="s">
        <v>286</v>
      </c>
      <c r="L63" s="69" t="s">
        <v>387</v>
      </c>
      <c r="M63" s="48">
        <v>34008</v>
      </c>
      <c r="N63" s="7"/>
      <c r="O63" s="5"/>
      <c r="P63" s="6"/>
      <c r="Q63" s="10"/>
      <c r="R63" s="10"/>
    </row>
    <row r="64" spans="1:18" ht="15" customHeight="1" x14ac:dyDescent="0.35">
      <c r="A64" s="38" t="s">
        <v>209</v>
      </c>
      <c r="B64" s="39" t="s">
        <v>80</v>
      </c>
      <c r="C64" s="40"/>
      <c r="D64" s="41" t="s">
        <v>284</v>
      </c>
      <c r="E64" s="41">
        <v>23901</v>
      </c>
      <c r="F64" s="59"/>
      <c r="G64" s="42"/>
      <c r="H64" s="43" t="s">
        <v>287</v>
      </c>
      <c r="I64" s="44"/>
      <c r="J64" s="42"/>
      <c r="K64" s="47"/>
      <c r="L64" s="45"/>
      <c r="M64" s="46"/>
      <c r="N64" s="7"/>
      <c r="O64" s="5"/>
      <c r="P64" s="6"/>
      <c r="Q64" s="10"/>
      <c r="R64" s="10"/>
    </row>
    <row r="65" spans="1:18" ht="15" customHeight="1" x14ac:dyDescent="0.35">
      <c r="A65" s="51" t="s">
        <v>210</v>
      </c>
      <c r="B65" s="49" t="s">
        <v>81</v>
      </c>
      <c r="C65" s="50" t="s">
        <v>388</v>
      </c>
      <c r="D65" s="52" t="s">
        <v>284</v>
      </c>
      <c r="E65" s="52">
        <v>38582</v>
      </c>
      <c r="F65" s="60">
        <v>32904</v>
      </c>
      <c r="G65" s="61" t="s">
        <v>385</v>
      </c>
      <c r="H65" s="56"/>
      <c r="I65" s="57"/>
      <c r="J65" s="61" t="s">
        <v>385</v>
      </c>
      <c r="K65" s="53"/>
      <c r="L65" s="69" t="s">
        <v>387</v>
      </c>
      <c r="M65" s="48">
        <v>36400</v>
      </c>
      <c r="N65" s="7"/>
      <c r="O65" s="5"/>
      <c r="P65" s="6"/>
      <c r="Q65" s="10"/>
      <c r="R65" s="10"/>
    </row>
    <row r="66" spans="1:18" ht="15" customHeight="1" x14ac:dyDescent="0.35">
      <c r="A66" s="51" t="s">
        <v>211</v>
      </c>
      <c r="B66" s="49" t="s">
        <v>82</v>
      </c>
      <c r="C66" s="50" t="s">
        <v>284</v>
      </c>
      <c r="D66" s="52" t="s">
        <v>284</v>
      </c>
      <c r="E66" s="52">
        <v>21454</v>
      </c>
      <c r="F66" s="60" t="s">
        <v>329</v>
      </c>
      <c r="G66" s="61" t="s">
        <v>385</v>
      </c>
      <c r="H66" s="56"/>
      <c r="I66" s="57"/>
      <c r="J66" s="61" t="s">
        <v>385</v>
      </c>
      <c r="K66" s="53" t="s">
        <v>286</v>
      </c>
      <c r="L66" s="69" t="s">
        <v>387</v>
      </c>
      <c r="M66" s="48">
        <v>390000</v>
      </c>
      <c r="N66" s="7"/>
      <c r="O66" s="5"/>
      <c r="P66" s="6"/>
      <c r="Q66" s="10"/>
      <c r="R66" s="10"/>
    </row>
    <row r="67" spans="1:18" ht="15" customHeight="1" x14ac:dyDescent="0.35">
      <c r="A67" s="38" t="s">
        <v>212</v>
      </c>
      <c r="B67" s="39" t="s">
        <v>83</v>
      </c>
      <c r="C67" s="40"/>
      <c r="D67" s="41" t="s">
        <v>284</v>
      </c>
      <c r="E67" s="41">
        <v>22035</v>
      </c>
      <c r="F67" s="59"/>
      <c r="G67" s="42"/>
      <c r="H67" s="43" t="s">
        <v>287</v>
      </c>
      <c r="I67" s="44"/>
      <c r="J67" s="42"/>
      <c r="K67" s="47"/>
      <c r="L67" s="45"/>
      <c r="M67" s="46"/>
      <c r="N67" s="7"/>
      <c r="O67" s="5"/>
      <c r="P67" s="6"/>
      <c r="Q67" s="10"/>
      <c r="R67" s="10"/>
    </row>
    <row r="68" spans="1:18" ht="15" customHeight="1" x14ac:dyDescent="0.35">
      <c r="A68" s="38" t="s">
        <v>213</v>
      </c>
      <c r="B68" s="39" t="s">
        <v>83</v>
      </c>
      <c r="C68" s="40"/>
      <c r="D68" s="41" t="s">
        <v>285</v>
      </c>
      <c r="E68" s="41">
        <v>38047</v>
      </c>
      <c r="F68" s="59"/>
      <c r="G68" s="42"/>
      <c r="H68" s="43" t="s">
        <v>288</v>
      </c>
      <c r="I68" s="44"/>
      <c r="J68" s="42"/>
      <c r="K68" s="47"/>
      <c r="L68" s="45"/>
      <c r="M68" s="46"/>
      <c r="N68" s="7"/>
      <c r="O68" s="5"/>
      <c r="P68" s="6"/>
      <c r="Q68" s="10"/>
      <c r="R68" s="10"/>
    </row>
    <row r="69" spans="1:18" ht="15" customHeight="1" x14ac:dyDescent="0.35">
      <c r="A69" s="38" t="s">
        <v>214</v>
      </c>
      <c r="B69" s="39" t="s">
        <v>83</v>
      </c>
      <c r="C69" s="40"/>
      <c r="D69" s="41" t="s">
        <v>284</v>
      </c>
      <c r="E69" s="41">
        <v>38047</v>
      </c>
      <c r="F69" s="59"/>
      <c r="G69" s="42"/>
      <c r="H69" s="43" t="s">
        <v>288</v>
      </c>
      <c r="I69" s="44"/>
      <c r="J69" s="42"/>
      <c r="K69" s="47"/>
      <c r="L69" s="45"/>
      <c r="M69" s="46"/>
      <c r="N69" s="7"/>
      <c r="O69" s="5"/>
      <c r="P69" s="6"/>
      <c r="Q69" s="10"/>
      <c r="R69" s="10"/>
    </row>
    <row r="70" spans="1:18" ht="15" customHeight="1" x14ac:dyDescent="0.35">
      <c r="A70" s="51" t="s">
        <v>215</v>
      </c>
      <c r="B70" s="49" t="s">
        <v>84</v>
      </c>
      <c r="C70" s="50" t="s">
        <v>388</v>
      </c>
      <c r="D70" s="52" t="s">
        <v>284</v>
      </c>
      <c r="E70" s="52">
        <v>26498</v>
      </c>
      <c r="F70" s="60" t="s">
        <v>330</v>
      </c>
      <c r="G70" s="61" t="s">
        <v>385</v>
      </c>
      <c r="H70" s="56"/>
      <c r="I70" s="57"/>
      <c r="J70" s="61" t="s">
        <v>385</v>
      </c>
      <c r="K70" s="53"/>
      <c r="L70" s="69" t="s">
        <v>387</v>
      </c>
      <c r="M70" s="48">
        <v>35360</v>
      </c>
      <c r="N70" s="7"/>
      <c r="O70" s="5"/>
      <c r="P70" s="6"/>
      <c r="Q70" s="10"/>
      <c r="R70" s="10"/>
    </row>
    <row r="71" spans="1:18" ht="15" customHeight="1" x14ac:dyDescent="0.35">
      <c r="A71" s="51" t="s">
        <v>216</v>
      </c>
      <c r="B71" s="49" t="s">
        <v>85</v>
      </c>
      <c r="C71" s="50" t="s">
        <v>388</v>
      </c>
      <c r="D71" s="52" t="s">
        <v>284</v>
      </c>
      <c r="E71" s="52">
        <v>29381</v>
      </c>
      <c r="F71" s="60" t="s">
        <v>331</v>
      </c>
      <c r="G71" s="61" t="s">
        <v>385</v>
      </c>
      <c r="H71" s="56"/>
      <c r="I71" s="57"/>
      <c r="J71" s="61" t="s">
        <v>385</v>
      </c>
      <c r="K71" s="53"/>
      <c r="L71" s="69" t="s">
        <v>387</v>
      </c>
      <c r="M71" s="48">
        <v>39520</v>
      </c>
      <c r="N71" s="7"/>
      <c r="O71" s="5"/>
      <c r="P71" s="6"/>
      <c r="Q71" s="10"/>
      <c r="R71" s="10"/>
    </row>
    <row r="72" spans="1:18" ht="15" customHeight="1" x14ac:dyDescent="0.35">
      <c r="A72" s="51" t="s">
        <v>184</v>
      </c>
      <c r="B72" s="49" t="s">
        <v>86</v>
      </c>
      <c r="C72" s="50" t="s">
        <v>26</v>
      </c>
      <c r="D72" s="52" t="s">
        <v>284</v>
      </c>
      <c r="E72" s="52">
        <v>34180</v>
      </c>
      <c r="F72" s="60" t="s">
        <v>332</v>
      </c>
      <c r="G72" s="61" t="s">
        <v>385</v>
      </c>
      <c r="H72" s="56"/>
      <c r="I72" s="57"/>
      <c r="J72" s="61" t="s">
        <v>385</v>
      </c>
      <c r="K72" s="53" t="s">
        <v>286</v>
      </c>
      <c r="L72" s="69" t="s">
        <v>387</v>
      </c>
      <c r="M72" s="48">
        <v>74880</v>
      </c>
      <c r="N72" s="7"/>
      <c r="O72" s="5"/>
      <c r="P72" s="6"/>
      <c r="Q72" s="10"/>
      <c r="R72" s="10"/>
    </row>
    <row r="73" spans="1:18" ht="15" customHeight="1" x14ac:dyDescent="0.35">
      <c r="A73" s="51" t="s">
        <v>217</v>
      </c>
      <c r="B73" s="49" t="s">
        <v>86</v>
      </c>
      <c r="C73" s="50" t="s">
        <v>26</v>
      </c>
      <c r="D73" s="52" t="s">
        <v>284</v>
      </c>
      <c r="E73" s="52">
        <v>23211</v>
      </c>
      <c r="F73" s="60" t="s">
        <v>333</v>
      </c>
      <c r="G73" s="61" t="s">
        <v>385</v>
      </c>
      <c r="H73" s="56"/>
      <c r="I73" s="57"/>
      <c r="J73" s="61" t="s">
        <v>385</v>
      </c>
      <c r="K73" s="53" t="s">
        <v>286</v>
      </c>
      <c r="L73" s="69" t="s">
        <v>387</v>
      </c>
      <c r="M73" s="48">
        <v>66560</v>
      </c>
      <c r="N73" s="7"/>
      <c r="O73" s="5"/>
      <c r="P73" s="6"/>
      <c r="Q73" s="10"/>
      <c r="R73" s="10"/>
    </row>
    <row r="74" spans="1:18" ht="15" customHeight="1" x14ac:dyDescent="0.35">
      <c r="A74" s="51" t="s">
        <v>218</v>
      </c>
      <c r="B74" s="49" t="s">
        <v>87</v>
      </c>
      <c r="C74" s="50" t="s">
        <v>26</v>
      </c>
      <c r="D74" s="52" t="s">
        <v>284</v>
      </c>
      <c r="E74" s="52">
        <v>25511</v>
      </c>
      <c r="F74" s="60" t="s">
        <v>334</v>
      </c>
      <c r="G74" s="61" t="s">
        <v>385</v>
      </c>
      <c r="H74" s="56"/>
      <c r="I74" s="57"/>
      <c r="J74" s="61" t="s">
        <v>385</v>
      </c>
      <c r="K74" s="53" t="s">
        <v>286</v>
      </c>
      <c r="L74" s="69" t="s">
        <v>387</v>
      </c>
      <c r="M74" s="48">
        <v>34320</v>
      </c>
      <c r="N74" s="7"/>
      <c r="O74" s="5"/>
      <c r="P74" s="6"/>
      <c r="Q74" s="10"/>
      <c r="R74" s="10"/>
    </row>
    <row r="75" spans="1:18" ht="15" customHeight="1" x14ac:dyDescent="0.35">
      <c r="A75" s="51" t="s">
        <v>219</v>
      </c>
      <c r="B75" s="49" t="s">
        <v>88</v>
      </c>
      <c r="C75" s="50" t="s">
        <v>26</v>
      </c>
      <c r="D75" s="52" t="s">
        <v>284</v>
      </c>
      <c r="E75" s="52">
        <v>25990</v>
      </c>
      <c r="F75" s="60" t="s">
        <v>335</v>
      </c>
      <c r="G75" s="61" t="s">
        <v>385</v>
      </c>
      <c r="H75" s="56"/>
      <c r="I75" s="57"/>
      <c r="J75" s="61" t="s">
        <v>385</v>
      </c>
      <c r="K75" s="53" t="s">
        <v>286</v>
      </c>
      <c r="L75" s="69" t="s">
        <v>387</v>
      </c>
      <c r="M75" s="48">
        <v>41600</v>
      </c>
      <c r="N75" s="7"/>
      <c r="O75" s="5"/>
      <c r="P75" s="6"/>
      <c r="Q75" s="10"/>
      <c r="R75" s="10"/>
    </row>
    <row r="76" spans="1:18" ht="15" customHeight="1" x14ac:dyDescent="0.35">
      <c r="A76" s="51" t="s">
        <v>220</v>
      </c>
      <c r="B76" s="49" t="s">
        <v>89</v>
      </c>
      <c r="C76" s="50" t="s">
        <v>388</v>
      </c>
      <c r="D76" s="52" t="s">
        <v>284</v>
      </c>
      <c r="E76" s="52">
        <v>31320</v>
      </c>
      <c r="F76" s="60" t="s">
        <v>336</v>
      </c>
      <c r="G76" s="61" t="s">
        <v>385</v>
      </c>
      <c r="H76" s="56"/>
      <c r="I76" s="57"/>
      <c r="J76" s="61" t="s">
        <v>385</v>
      </c>
      <c r="K76" s="53"/>
      <c r="L76" s="69" t="s">
        <v>387</v>
      </c>
      <c r="M76" s="48">
        <v>40560</v>
      </c>
      <c r="N76" s="7"/>
      <c r="O76" s="5"/>
      <c r="P76" s="6"/>
      <c r="Q76" s="10"/>
      <c r="R76" s="10"/>
    </row>
    <row r="77" spans="1:18" ht="15" customHeight="1" x14ac:dyDescent="0.35">
      <c r="A77" s="51" t="s">
        <v>221</v>
      </c>
      <c r="B77" s="49" t="s">
        <v>90</v>
      </c>
      <c r="C77" s="50" t="s">
        <v>26</v>
      </c>
      <c r="D77" s="52" t="s">
        <v>284</v>
      </c>
      <c r="E77" s="52">
        <v>28279</v>
      </c>
      <c r="F77" s="60" t="s">
        <v>337</v>
      </c>
      <c r="G77" s="61" t="s">
        <v>385</v>
      </c>
      <c r="H77" s="56"/>
      <c r="I77" s="57"/>
      <c r="J77" s="61" t="s">
        <v>385</v>
      </c>
      <c r="K77" s="53" t="s">
        <v>286</v>
      </c>
      <c r="L77" s="69" t="s">
        <v>387</v>
      </c>
      <c r="M77" s="48">
        <v>41600</v>
      </c>
      <c r="N77" s="7"/>
      <c r="O77" s="5"/>
      <c r="P77" s="6"/>
      <c r="Q77" s="10"/>
      <c r="R77" s="10"/>
    </row>
    <row r="78" spans="1:18" ht="15" customHeight="1" x14ac:dyDescent="0.35">
      <c r="A78" s="51" t="s">
        <v>222</v>
      </c>
      <c r="B78" s="49" t="s">
        <v>91</v>
      </c>
      <c r="C78" s="50" t="s">
        <v>284</v>
      </c>
      <c r="D78" s="52" t="s">
        <v>285</v>
      </c>
      <c r="E78" s="52">
        <v>25714</v>
      </c>
      <c r="F78" s="60" t="s">
        <v>338</v>
      </c>
      <c r="G78" s="61" t="s">
        <v>385</v>
      </c>
      <c r="H78" s="56"/>
      <c r="I78" s="57"/>
      <c r="J78" s="61" t="s">
        <v>385</v>
      </c>
      <c r="K78" s="53" t="s">
        <v>286</v>
      </c>
      <c r="L78" s="69" t="s">
        <v>387</v>
      </c>
      <c r="M78" s="48">
        <v>260000</v>
      </c>
      <c r="N78" s="7"/>
      <c r="O78" s="5"/>
      <c r="P78" s="6"/>
      <c r="Q78" s="10"/>
      <c r="R78" s="10"/>
    </row>
    <row r="79" spans="1:18" ht="15" customHeight="1" x14ac:dyDescent="0.35">
      <c r="A79" s="38" t="s">
        <v>223</v>
      </c>
      <c r="B79" s="39" t="s">
        <v>91</v>
      </c>
      <c r="C79" s="40"/>
      <c r="D79" s="41" t="s">
        <v>284</v>
      </c>
      <c r="E79" s="41">
        <v>28071</v>
      </c>
      <c r="F79" s="59"/>
      <c r="G79" s="42"/>
      <c r="H79" s="43" t="s">
        <v>287</v>
      </c>
      <c r="I79" s="44"/>
      <c r="J79" s="42"/>
      <c r="K79" s="47"/>
      <c r="L79" s="45"/>
      <c r="M79" s="46"/>
      <c r="N79" s="7"/>
      <c r="O79" s="5"/>
      <c r="P79" s="6"/>
      <c r="Q79" s="10"/>
      <c r="R79" s="10"/>
    </row>
    <row r="80" spans="1:18" ht="15" customHeight="1" x14ac:dyDescent="0.35">
      <c r="A80" s="38" t="s">
        <v>224</v>
      </c>
      <c r="B80" s="39" t="s">
        <v>91</v>
      </c>
      <c r="C80" s="40"/>
      <c r="D80" s="41" t="s">
        <v>285</v>
      </c>
      <c r="E80" s="41">
        <v>41995</v>
      </c>
      <c r="F80" s="59"/>
      <c r="G80" s="42"/>
      <c r="H80" s="43" t="s">
        <v>288</v>
      </c>
      <c r="I80" s="44"/>
      <c r="J80" s="42"/>
      <c r="K80" s="47"/>
      <c r="L80" s="45"/>
      <c r="M80" s="46"/>
      <c r="N80" s="7"/>
      <c r="O80" s="5"/>
      <c r="P80" s="6"/>
      <c r="Q80" s="10"/>
      <c r="R80" s="10"/>
    </row>
    <row r="81" spans="1:18" ht="15" customHeight="1" x14ac:dyDescent="0.35">
      <c r="A81" s="51" t="s">
        <v>225</v>
      </c>
      <c r="B81" s="49" t="s">
        <v>92</v>
      </c>
      <c r="C81" s="50" t="s">
        <v>388</v>
      </c>
      <c r="D81" s="52" t="s">
        <v>284</v>
      </c>
      <c r="E81" s="52">
        <v>34213</v>
      </c>
      <c r="F81" s="60" t="s">
        <v>339</v>
      </c>
      <c r="G81" s="61" t="s">
        <v>385</v>
      </c>
      <c r="H81" s="56"/>
      <c r="I81" s="57"/>
      <c r="J81" s="61" t="s">
        <v>385</v>
      </c>
      <c r="K81" s="53"/>
      <c r="L81" s="69" t="s">
        <v>387</v>
      </c>
      <c r="M81" s="48">
        <v>34320</v>
      </c>
      <c r="N81" s="7"/>
      <c r="O81" s="5"/>
      <c r="P81" s="6"/>
      <c r="Q81" s="10"/>
      <c r="R81" s="10"/>
    </row>
    <row r="82" spans="1:18" ht="15" customHeight="1" x14ac:dyDescent="0.35">
      <c r="A82" s="51" t="s">
        <v>226</v>
      </c>
      <c r="B82" s="49" t="s">
        <v>93</v>
      </c>
      <c r="C82" s="50" t="s">
        <v>284</v>
      </c>
      <c r="D82" s="52" t="s">
        <v>285</v>
      </c>
      <c r="E82" s="52">
        <v>30150</v>
      </c>
      <c r="F82" s="60" t="s">
        <v>340</v>
      </c>
      <c r="G82" s="61" t="s">
        <v>385</v>
      </c>
      <c r="H82" s="56"/>
      <c r="I82" s="57"/>
      <c r="J82" s="61" t="s">
        <v>385</v>
      </c>
      <c r="K82" s="53" t="s">
        <v>286</v>
      </c>
      <c r="L82" s="69" t="s">
        <v>387</v>
      </c>
      <c r="M82" s="48">
        <v>65000</v>
      </c>
      <c r="N82" s="7"/>
      <c r="O82" s="5"/>
      <c r="P82" s="6"/>
      <c r="Q82" s="10"/>
      <c r="R82" s="10"/>
    </row>
    <row r="83" spans="1:18" ht="15" customHeight="1" x14ac:dyDescent="0.35">
      <c r="A83" s="38" t="s">
        <v>227</v>
      </c>
      <c r="B83" s="39" t="s">
        <v>94</v>
      </c>
      <c r="C83" s="40"/>
      <c r="D83" s="41" t="s">
        <v>285</v>
      </c>
      <c r="E83" s="41">
        <v>34796</v>
      </c>
      <c r="F83" s="59"/>
      <c r="G83" s="42"/>
      <c r="H83" s="43" t="s">
        <v>287</v>
      </c>
      <c r="I83" s="44"/>
      <c r="J83" s="42"/>
      <c r="K83" s="47"/>
      <c r="L83" s="45"/>
      <c r="M83" s="46"/>
      <c r="N83" s="7"/>
      <c r="O83" s="5"/>
      <c r="P83" s="6"/>
      <c r="Q83" s="10"/>
      <c r="R83" s="10"/>
    </row>
    <row r="84" spans="1:18" ht="15" customHeight="1" x14ac:dyDescent="0.35">
      <c r="A84" s="38" t="s">
        <v>228</v>
      </c>
      <c r="B84" s="39" t="s">
        <v>93</v>
      </c>
      <c r="C84" s="40"/>
      <c r="D84" s="41" t="s">
        <v>285</v>
      </c>
      <c r="E84" s="41">
        <v>38253</v>
      </c>
      <c r="F84" s="59"/>
      <c r="G84" s="42"/>
      <c r="H84" s="43" t="s">
        <v>288</v>
      </c>
      <c r="I84" s="44"/>
      <c r="J84" s="42"/>
      <c r="K84" s="47"/>
      <c r="L84" s="45"/>
      <c r="M84" s="46"/>
      <c r="N84" s="7"/>
      <c r="O84" s="5"/>
      <c r="P84" s="6"/>
      <c r="Q84" s="10"/>
      <c r="R84" s="10"/>
    </row>
    <row r="85" spans="1:18" ht="15" customHeight="1" x14ac:dyDescent="0.35">
      <c r="A85" s="38" t="s">
        <v>229</v>
      </c>
      <c r="B85" s="39" t="s">
        <v>93</v>
      </c>
      <c r="C85" s="40"/>
      <c r="D85" s="41" t="s">
        <v>284</v>
      </c>
      <c r="E85" s="41">
        <v>39307</v>
      </c>
      <c r="F85" s="59"/>
      <c r="G85" s="42"/>
      <c r="H85" s="43" t="s">
        <v>288</v>
      </c>
      <c r="I85" s="44"/>
      <c r="J85" s="42"/>
      <c r="K85" s="47"/>
      <c r="L85" s="45"/>
      <c r="M85" s="46"/>
      <c r="N85" s="7"/>
      <c r="O85" s="5"/>
      <c r="P85" s="6"/>
      <c r="Q85" s="10"/>
      <c r="R85" s="10"/>
    </row>
    <row r="86" spans="1:18" ht="15" customHeight="1" x14ac:dyDescent="0.35">
      <c r="A86" s="51" t="s">
        <v>230</v>
      </c>
      <c r="B86" s="49" t="s">
        <v>95</v>
      </c>
      <c r="C86" s="50" t="s">
        <v>26</v>
      </c>
      <c r="D86" s="52" t="s">
        <v>284</v>
      </c>
      <c r="E86" s="52">
        <v>23530</v>
      </c>
      <c r="F86" s="60">
        <v>32909</v>
      </c>
      <c r="G86" s="61" t="s">
        <v>385</v>
      </c>
      <c r="H86" s="56"/>
      <c r="I86" s="57"/>
      <c r="J86" s="61" t="s">
        <v>385</v>
      </c>
      <c r="K86" s="53" t="s">
        <v>286</v>
      </c>
      <c r="L86" s="69" t="s">
        <v>387</v>
      </c>
      <c r="M86" s="48">
        <v>44720</v>
      </c>
      <c r="N86" s="7"/>
      <c r="O86" s="5"/>
      <c r="P86" s="6"/>
      <c r="Q86" s="10"/>
      <c r="R86" s="10"/>
    </row>
    <row r="87" spans="1:18" ht="15" customHeight="1" x14ac:dyDescent="0.35">
      <c r="A87" s="51" t="s">
        <v>231</v>
      </c>
      <c r="B87" s="49" t="s">
        <v>96</v>
      </c>
      <c r="C87" s="50" t="s">
        <v>26</v>
      </c>
      <c r="D87" s="52" t="s">
        <v>284</v>
      </c>
      <c r="E87" s="52">
        <v>34822</v>
      </c>
      <c r="F87" s="60" t="s">
        <v>341</v>
      </c>
      <c r="G87" s="61" t="s">
        <v>385</v>
      </c>
      <c r="H87" s="56"/>
      <c r="I87" s="57"/>
      <c r="J87" s="61" t="s">
        <v>385</v>
      </c>
      <c r="K87" s="53" t="s">
        <v>286</v>
      </c>
      <c r="L87" s="69" t="s">
        <v>387</v>
      </c>
      <c r="M87" s="48">
        <v>35360</v>
      </c>
      <c r="N87" s="7"/>
      <c r="O87" s="5"/>
      <c r="P87" s="6"/>
      <c r="Q87" s="10"/>
      <c r="R87" s="10"/>
    </row>
    <row r="88" spans="1:18" ht="15" customHeight="1" x14ac:dyDescent="0.35">
      <c r="A88" s="51" t="s">
        <v>232</v>
      </c>
      <c r="B88" s="49" t="s">
        <v>97</v>
      </c>
      <c r="C88" s="50" t="s">
        <v>26</v>
      </c>
      <c r="D88" s="52" t="s">
        <v>284</v>
      </c>
      <c r="E88" s="52">
        <v>24349</v>
      </c>
      <c r="F88" s="60" t="s">
        <v>342</v>
      </c>
      <c r="G88" s="61" t="s">
        <v>385</v>
      </c>
      <c r="H88" s="56"/>
      <c r="I88" s="57"/>
      <c r="J88" s="61" t="s">
        <v>385</v>
      </c>
      <c r="K88" s="53" t="s">
        <v>286</v>
      </c>
      <c r="L88" s="69" t="s">
        <v>387</v>
      </c>
      <c r="M88" s="48">
        <v>37440</v>
      </c>
      <c r="N88" s="7"/>
      <c r="O88" s="5"/>
      <c r="P88" s="6"/>
      <c r="Q88" s="10"/>
      <c r="R88" s="10"/>
    </row>
    <row r="89" spans="1:18" ht="15" customHeight="1" x14ac:dyDescent="0.35">
      <c r="A89" s="51" t="s">
        <v>233</v>
      </c>
      <c r="B89" s="49" t="s">
        <v>98</v>
      </c>
      <c r="C89" s="50" t="s">
        <v>388</v>
      </c>
      <c r="D89" s="52" t="s">
        <v>284</v>
      </c>
      <c r="E89" s="52">
        <v>33720</v>
      </c>
      <c r="F89" s="60" t="s">
        <v>343</v>
      </c>
      <c r="G89" s="61" t="s">
        <v>385</v>
      </c>
      <c r="H89" s="56"/>
      <c r="I89" s="57"/>
      <c r="J89" s="61" t="s">
        <v>385</v>
      </c>
      <c r="K89" s="53"/>
      <c r="L89" s="69" t="s">
        <v>387</v>
      </c>
      <c r="M89" s="48">
        <v>90000</v>
      </c>
      <c r="N89" s="7"/>
      <c r="O89" s="5"/>
      <c r="P89" s="6"/>
      <c r="Q89" s="10"/>
      <c r="R89" s="10"/>
    </row>
    <row r="90" spans="1:18" ht="15" customHeight="1" x14ac:dyDescent="0.35">
      <c r="A90" s="51" t="s">
        <v>234</v>
      </c>
      <c r="B90" s="49" t="s">
        <v>98</v>
      </c>
      <c r="C90" s="50" t="s">
        <v>388</v>
      </c>
      <c r="D90" s="52" t="s">
        <v>284</v>
      </c>
      <c r="E90" s="52">
        <v>27301</v>
      </c>
      <c r="F90" s="60">
        <v>32940</v>
      </c>
      <c r="G90" s="61" t="s">
        <v>385</v>
      </c>
      <c r="H90" s="56"/>
      <c r="I90" s="57"/>
      <c r="J90" s="61" t="s">
        <v>385</v>
      </c>
      <c r="K90" s="53"/>
      <c r="L90" s="69" t="s">
        <v>387</v>
      </c>
      <c r="M90" s="48">
        <v>79999.92</v>
      </c>
      <c r="N90" s="7"/>
      <c r="O90" s="5"/>
      <c r="P90" s="6"/>
      <c r="Q90" s="10"/>
      <c r="R90" s="10"/>
    </row>
    <row r="91" spans="1:18" ht="15" customHeight="1" x14ac:dyDescent="0.35">
      <c r="A91" s="51" t="s">
        <v>173</v>
      </c>
      <c r="B91" s="49" t="s">
        <v>99</v>
      </c>
      <c r="C91" s="50" t="s">
        <v>26</v>
      </c>
      <c r="D91" s="52" t="s">
        <v>284</v>
      </c>
      <c r="E91" s="52">
        <v>25762</v>
      </c>
      <c r="F91" s="60">
        <v>32934</v>
      </c>
      <c r="G91" s="61" t="s">
        <v>385</v>
      </c>
      <c r="H91" s="56"/>
      <c r="I91" s="57"/>
      <c r="J91" s="61" t="s">
        <v>385</v>
      </c>
      <c r="K91" s="53" t="s">
        <v>286</v>
      </c>
      <c r="L91" s="69" t="s">
        <v>387</v>
      </c>
      <c r="M91" s="48">
        <v>54080</v>
      </c>
      <c r="N91" s="7"/>
      <c r="O91" s="5"/>
      <c r="P91" s="6"/>
      <c r="Q91" s="10"/>
      <c r="R91" s="10"/>
    </row>
    <row r="92" spans="1:18" ht="15" customHeight="1" x14ac:dyDescent="0.35">
      <c r="A92" s="51" t="s">
        <v>235</v>
      </c>
      <c r="B92" s="49" t="s">
        <v>100</v>
      </c>
      <c r="C92" s="50" t="s">
        <v>388</v>
      </c>
      <c r="D92" s="52" t="s">
        <v>284</v>
      </c>
      <c r="E92" s="52">
        <v>27910</v>
      </c>
      <c r="F92" s="60" t="s">
        <v>344</v>
      </c>
      <c r="G92" s="61" t="s">
        <v>385</v>
      </c>
      <c r="H92" s="56"/>
      <c r="I92" s="57"/>
      <c r="J92" s="61" t="s">
        <v>385</v>
      </c>
      <c r="K92" s="53"/>
      <c r="L92" s="69" t="s">
        <v>387</v>
      </c>
      <c r="M92" s="48">
        <v>36400</v>
      </c>
      <c r="N92" s="7"/>
      <c r="O92" s="5"/>
      <c r="P92" s="6"/>
      <c r="Q92" s="10"/>
      <c r="R92" s="10"/>
    </row>
    <row r="93" spans="1:18" ht="15" customHeight="1" x14ac:dyDescent="0.35">
      <c r="A93" s="51" t="s">
        <v>236</v>
      </c>
      <c r="B93" s="49" t="s">
        <v>101</v>
      </c>
      <c r="C93" s="50" t="s">
        <v>388</v>
      </c>
      <c r="D93" s="52" t="s">
        <v>284</v>
      </c>
      <c r="E93" s="52">
        <v>33081</v>
      </c>
      <c r="F93" s="60" t="s">
        <v>345</v>
      </c>
      <c r="G93" s="61" t="s">
        <v>385</v>
      </c>
      <c r="H93" s="56"/>
      <c r="I93" s="57"/>
      <c r="J93" s="61" t="s">
        <v>385</v>
      </c>
      <c r="K93" s="53"/>
      <c r="L93" s="69" t="s">
        <v>387</v>
      </c>
      <c r="M93" s="48">
        <v>37440</v>
      </c>
      <c r="N93" s="7"/>
      <c r="O93" s="5"/>
      <c r="P93" s="6"/>
      <c r="Q93" s="10"/>
      <c r="R93" s="10"/>
    </row>
    <row r="94" spans="1:18" ht="15" customHeight="1" x14ac:dyDescent="0.35">
      <c r="A94" s="51" t="s">
        <v>237</v>
      </c>
      <c r="B94" s="49" t="s">
        <v>102</v>
      </c>
      <c r="C94" s="50" t="s">
        <v>284</v>
      </c>
      <c r="D94" s="52" t="s">
        <v>284</v>
      </c>
      <c r="E94" s="52">
        <v>28480</v>
      </c>
      <c r="F94" s="60" t="s">
        <v>346</v>
      </c>
      <c r="G94" s="61" t="s">
        <v>385</v>
      </c>
      <c r="H94" s="56"/>
      <c r="I94" s="57"/>
      <c r="J94" s="61" t="s">
        <v>385</v>
      </c>
      <c r="K94" s="53" t="s">
        <v>286</v>
      </c>
      <c r="L94" s="69" t="s">
        <v>387</v>
      </c>
      <c r="M94" s="48">
        <v>210000</v>
      </c>
      <c r="N94" s="7"/>
      <c r="O94" s="5"/>
      <c r="P94" s="6"/>
      <c r="Q94" s="10"/>
      <c r="R94" s="10"/>
    </row>
    <row r="95" spans="1:18" ht="15" customHeight="1" x14ac:dyDescent="0.35">
      <c r="A95" s="38" t="s">
        <v>238</v>
      </c>
      <c r="B95" s="39" t="s">
        <v>103</v>
      </c>
      <c r="C95" s="40"/>
      <c r="D95" s="41" t="s">
        <v>285</v>
      </c>
      <c r="E95" s="41">
        <v>29191</v>
      </c>
      <c r="F95" s="59"/>
      <c r="G95" s="42"/>
      <c r="H95" s="43" t="s">
        <v>287</v>
      </c>
      <c r="I95" s="44"/>
      <c r="J95" s="42"/>
      <c r="K95" s="47"/>
      <c r="L95" s="45"/>
      <c r="M95" s="46"/>
      <c r="N95" s="7"/>
      <c r="O95" s="5"/>
      <c r="P95" s="6"/>
      <c r="Q95" s="10"/>
      <c r="R95" s="10"/>
    </row>
    <row r="96" spans="1:18" ht="15" customHeight="1" x14ac:dyDescent="0.35">
      <c r="A96" s="38" t="s">
        <v>239</v>
      </c>
      <c r="B96" s="39" t="s">
        <v>104</v>
      </c>
      <c r="C96" s="40"/>
      <c r="D96" s="41" t="s">
        <v>284</v>
      </c>
      <c r="E96" s="41">
        <v>40700</v>
      </c>
      <c r="F96" s="59"/>
      <c r="G96" s="42"/>
      <c r="H96" s="43" t="s">
        <v>288</v>
      </c>
      <c r="I96" s="44"/>
      <c r="J96" s="42"/>
      <c r="K96" s="47"/>
      <c r="L96" s="45"/>
      <c r="M96" s="46"/>
      <c r="N96" s="7"/>
      <c r="O96" s="5"/>
      <c r="P96" s="6"/>
      <c r="Q96" s="10"/>
      <c r="R96" s="10"/>
    </row>
    <row r="97" spans="1:18" ht="15" customHeight="1" x14ac:dyDescent="0.35">
      <c r="A97" s="38" t="s">
        <v>203</v>
      </c>
      <c r="B97" s="39" t="s">
        <v>104</v>
      </c>
      <c r="C97" s="40"/>
      <c r="D97" s="41" t="s">
        <v>285</v>
      </c>
      <c r="E97" s="41">
        <v>39723</v>
      </c>
      <c r="F97" s="59"/>
      <c r="G97" s="42"/>
      <c r="H97" s="43" t="s">
        <v>288</v>
      </c>
      <c r="I97" s="44"/>
      <c r="J97" s="42"/>
      <c r="K97" s="47"/>
      <c r="L97" s="45"/>
      <c r="M97" s="46"/>
      <c r="N97" s="7"/>
      <c r="O97" s="5"/>
      <c r="P97" s="6"/>
      <c r="Q97" s="10"/>
      <c r="R97" s="10"/>
    </row>
    <row r="98" spans="1:18" ht="15" customHeight="1" x14ac:dyDescent="0.35">
      <c r="A98" s="51" t="s">
        <v>240</v>
      </c>
      <c r="B98" s="49" t="s">
        <v>105</v>
      </c>
      <c r="C98" s="50" t="s">
        <v>284</v>
      </c>
      <c r="D98" s="52" t="s">
        <v>284</v>
      </c>
      <c r="E98" s="52">
        <v>33389</v>
      </c>
      <c r="F98" s="60">
        <v>33449</v>
      </c>
      <c r="G98" s="61" t="s">
        <v>385</v>
      </c>
      <c r="H98" s="56"/>
      <c r="I98" s="57"/>
      <c r="J98" s="61" t="s">
        <v>385</v>
      </c>
      <c r="K98" s="53" t="s">
        <v>286</v>
      </c>
      <c r="L98" s="68" t="s">
        <v>386</v>
      </c>
      <c r="M98" s="48">
        <v>26000</v>
      </c>
      <c r="N98" s="7"/>
      <c r="O98" s="5"/>
      <c r="P98" s="6"/>
      <c r="Q98" s="10"/>
      <c r="R98" s="10"/>
    </row>
    <row r="99" spans="1:18" ht="15" customHeight="1" x14ac:dyDescent="0.35">
      <c r="A99" s="38" t="s">
        <v>241</v>
      </c>
      <c r="B99" s="39" t="s">
        <v>105</v>
      </c>
      <c r="C99" s="40"/>
      <c r="D99" s="41" t="s">
        <v>285</v>
      </c>
      <c r="E99" s="41">
        <v>31746</v>
      </c>
      <c r="F99" s="59"/>
      <c r="G99" s="42"/>
      <c r="H99" s="43" t="s">
        <v>287</v>
      </c>
      <c r="I99" s="44"/>
      <c r="J99" s="42"/>
      <c r="K99" s="47"/>
      <c r="L99" s="45"/>
      <c r="M99" s="46"/>
      <c r="N99" s="7"/>
      <c r="O99" s="5"/>
      <c r="P99" s="6"/>
      <c r="Q99" s="10"/>
      <c r="R99" s="10"/>
    </row>
    <row r="100" spans="1:18" ht="15" customHeight="1" x14ac:dyDescent="0.35">
      <c r="A100" s="38" t="s">
        <v>242</v>
      </c>
      <c r="B100" s="39" t="s">
        <v>105</v>
      </c>
      <c r="C100" s="40"/>
      <c r="D100" s="41" t="s">
        <v>285</v>
      </c>
      <c r="E100" s="41">
        <v>44111</v>
      </c>
      <c r="F100" s="59"/>
      <c r="G100" s="42"/>
      <c r="H100" s="43" t="s">
        <v>288</v>
      </c>
      <c r="I100" s="44"/>
      <c r="J100" s="42"/>
      <c r="K100" s="47"/>
      <c r="L100" s="45"/>
      <c r="M100" s="46"/>
      <c r="N100" s="7"/>
      <c r="O100" s="5"/>
      <c r="P100" s="6"/>
      <c r="Q100" s="10"/>
      <c r="R100" s="10"/>
    </row>
    <row r="101" spans="1:18" ht="15" customHeight="1" x14ac:dyDescent="0.35">
      <c r="A101" s="38" t="s">
        <v>243</v>
      </c>
      <c r="B101" s="39" t="s">
        <v>105</v>
      </c>
      <c r="C101" s="40"/>
      <c r="D101" s="41" t="s">
        <v>284</v>
      </c>
      <c r="E101" s="41">
        <v>45926</v>
      </c>
      <c r="F101" s="59"/>
      <c r="G101" s="42"/>
      <c r="H101" s="43" t="s">
        <v>288</v>
      </c>
      <c r="I101" s="44"/>
      <c r="J101" s="42"/>
      <c r="K101" s="47"/>
      <c r="L101" s="45"/>
      <c r="M101" s="46"/>
      <c r="N101" s="7"/>
      <c r="O101" s="5"/>
      <c r="P101" s="6"/>
      <c r="Q101" s="10"/>
      <c r="R101" s="10"/>
    </row>
    <row r="102" spans="1:18" ht="15" customHeight="1" x14ac:dyDescent="0.35">
      <c r="A102" s="51" t="s">
        <v>244</v>
      </c>
      <c r="B102" s="49" t="s">
        <v>106</v>
      </c>
      <c r="C102" s="50" t="s">
        <v>26</v>
      </c>
      <c r="D102" s="52" t="s">
        <v>284</v>
      </c>
      <c r="E102" s="52">
        <v>25697</v>
      </c>
      <c r="F102" s="60" t="s">
        <v>347</v>
      </c>
      <c r="G102" s="61" t="s">
        <v>385</v>
      </c>
      <c r="H102" s="56"/>
      <c r="I102" s="57"/>
      <c r="J102" s="61" t="s">
        <v>385</v>
      </c>
      <c r="K102" s="53" t="s">
        <v>286</v>
      </c>
      <c r="L102" s="69" t="s">
        <v>387</v>
      </c>
      <c r="M102" s="48">
        <v>43680</v>
      </c>
      <c r="N102" s="7"/>
      <c r="O102" s="5"/>
      <c r="P102" s="6"/>
      <c r="Q102" s="10"/>
      <c r="R102" s="10"/>
    </row>
    <row r="103" spans="1:18" ht="15" customHeight="1" x14ac:dyDescent="0.35">
      <c r="A103" s="51" t="s">
        <v>245</v>
      </c>
      <c r="B103" s="49" t="s">
        <v>107</v>
      </c>
      <c r="C103" s="50" t="s">
        <v>388</v>
      </c>
      <c r="D103" s="52" t="s">
        <v>284</v>
      </c>
      <c r="E103" s="52">
        <v>36078</v>
      </c>
      <c r="F103" s="60" t="s">
        <v>348</v>
      </c>
      <c r="G103" s="61" t="s">
        <v>385</v>
      </c>
      <c r="H103" s="56"/>
      <c r="I103" s="57"/>
      <c r="J103" s="61" t="s">
        <v>385</v>
      </c>
      <c r="K103" s="53"/>
      <c r="L103" s="69" t="s">
        <v>387</v>
      </c>
      <c r="M103" s="48">
        <v>64480</v>
      </c>
      <c r="N103" s="7"/>
      <c r="O103" s="5"/>
      <c r="P103" s="6"/>
      <c r="Q103" s="10"/>
      <c r="R103" s="10"/>
    </row>
    <row r="104" spans="1:18" ht="15" customHeight="1" x14ac:dyDescent="0.35">
      <c r="A104" s="51" t="s">
        <v>246</v>
      </c>
      <c r="B104" s="49" t="s">
        <v>108</v>
      </c>
      <c r="C104" s="50" t="s">
        <v>388</v>
      </c>
      <c r="D104" s="52" t="s">
        <v>284</v>
      </c>
      <c r="E104" s="52">
        <v>27155</v>
      </c>
      <c r="F104" s="60">
        <v>32909</v>
      </c>
      <c r="G104" s="61" t="s">
        <v>385</v>
      </c>
      <c r="H104" s="56"/>
      <c r="I104" s="57"/>
      <c r="J104" s="61" t="s">
        <v>385</v>
      </c>
      <c r="K104" s="53"/>
      <c r="L104" s="69" t="s">
        <v>387</v>
      </c>
      <c r="M104" s="48">
        <v>43680</v>
      </c>
      <c r="N104" s="7"/>
      <c r="O104" s="5"/>
      <c r="P104" s="6"/>
      <c r="Q104" s="10"/>
      <c r="R104" s="10"/>
    </row>
    <row r="105" spans="1:18" ht="15" customHeight="1" x14ac:dyDescent="0.35">
      <c r="A105" s="51" t="s">
        <v>247</v>
      </c>
      <c r="B105" s="49" t="s">
        <v>109</v>
      </c>
      <c r="C105" s="50" t="s">
        <v>388</v>
      </c>
      <c r="D105" s="52" t="s">
        <v>284</v>
      </c>
      <c r="E105" s="52">
        <v>29874</v>
      </c>
      <c r="F105" s="60" t="s">
        <v>349</v>
      </c>
      <c r="G105" s="61" t="s">
        <v>385</v>
      </c>
      <c r="H105" s="56"/>
      <c r="I105" s="57"/>
      <c r="J105" s="61" t="s">
        <v>385</v>
      </c>
      <c r="K105" s="53"/>
      <c r="L105" s="69" t="s">
        <v>387</v>
      </c>
      <c r="M105" s="48">
        <v>41600</v>
      </c>
      <c r="N105" s="7"/>
      <c r="O105" s="5"/>
      <c r="P105" s="6"/>
      <c r="Q105" s="10"/>
      <c r="R105" s="10"/>
    </row>
    <row r="106" spans="1:18" ht="15" customHeight="1" x14ac:dyDescent="0.35">
      <c r="A106" s="51" t="s">
        <v>248</v>
      </c>
      <c r="B106" s="49" t="s">
        <v>110</v>
      </c>
      <c r="C106" s="50" t="s">
        <v>388</v>
      </c>
      <c r="D106" s="52" t="s">
        <v>284</v>
      </c>
      <c r="E106" s="52">
        <v>36381</v>
      </c>
      <c r="F106" s="60" t="s">
        <v>350</v>
      </c>
      <c r="G106" s="61" t="s">
        <v>385</v>
      </c>
      <c r="H106" s="56"/>
      <c r="I106" s="57"/>
      <c r="J106" s="61" t="s">
        <v>385</v>
      </c>
      <c r="K106" s="53"/>
      <c r="L106" s="69" t="s">
        <v>387</v>
      </c>
      <c r="M106" s="48">
        <v>39000</v>
      </c>
      <c r="N106" s="7"/>
      <c r="O106" s="5"/>
      <c r="P106" s="6"/>
      <c r="Q106" s="10"/>
      <c r="R106" s="10"/>
    </row>
    <row r="107" spans="1:18" ht="15" customHeight="1" x14ac:dyDescent="0.35">
      <c r="A107" s="51" t="s">
        <v>249</v>
      </c>
      <c r="B107" s="49" t="s">
        <v>110</v>
      </c>
      <c r="C107" s="50" t="s">
        <v>388</v>
      </c>
      <c r="D107" s="52" t="s">
        <v>284</v>
      </c>
      <c r="E107" s="52">
        <v>29749</v>
      </c>
      <c r="F107" s="60" t="s">
        <v>351</v>
      </c>
      <c r="G107" s="61" t="s">
        <v>385</v>
      </c>
      <c r="H107" s="56"/>
      <c r="I107" s="57"/>
      <c r="J107" s="61" t="s">
        <v>385</v>
      </c>
      <c r="K107" s="53"/>
      <c r="L107" s="69" t="s">
        <v>387</v>
      </c>
      <c r="M107" s="48">
        <v>37440</v>
      </c>
      <c r="N107" s="7"/>
      <c r="O107" s="5"/>
      <c r="P107" s="6"/>
      <c r="Q107" s="10"/>
      <c r="R107" s="10"/>
    </row>
    <row r="108" spans="1:18" ht="15" customHeight="1" x14ac:dyDescent="0.35">
      <c r="A108" s="51" t="s">
        <v>250</v>
      </c>
      <c r="B108" s="49" t="s">
        <v>111</v>
      </c>
      <c r="C108" s="50" t="s">
        <v>26</v>
      </c>
      <c r="D108" s="52" t="s">
        <v>284</v>
      </c>
      <c r="E108" s="52">
        <v>31724</v>
      </c>
      <c r="F108" s="60" t="s">
        <v>352</v>
      </c>
      <c r="G108" s="61" t="s">
        <v>385</v>
      </c>
      <c r="H108" s="56"/>
      <c r="I108" s="57"/>
      <c r="J108" s="61" t="s">
        <v>385</v>
      </c>
      <c r="K108" s="53" t="s">
        <v>286</v>
      </c>
      <c r="L108" s="69" t="s">
        <v>387</v>
      </c>
      <c r="M108" s="48">
        <v>35360</v>
      </c>
      <c r="N108" s="7"/>
      <c r="O108" s="5"/>
      <c r="P108" s="6"/>
      <c r="Q108" s="10"/>
      <c r="R108" s="10"/>
    </row>
    <row r="109" spans="1:18" ht="15" customHeight="1" x14ac:dyDescent="0.35">
      <c r="A109" s="51" t="s">
        <v>251</v>
      </c>
      <c r="B109" s="49" t="s">
        <v>112</v>
      </c>
      <c r="C109" s="50" t="s">
        <v>284</v>
      </c>
      <c r="D109" s="52" t="s">
        <v>284</v>
      </c>
      <c r="E109" s="52">
        <v>31294</v>
      </c>
      <c r="F109" s="60" t="s">
        <v>353</v>
      </c>
      <c r="G109" s="61" t="s">
        <v>385</v>
      </c>
      <c r="H109" s="56"/>
      <c r="I109" s="57"/>
      <c r="J109" s="61" t="s">
        <v>385</v>
      </c>
      <c r="K109" s="53" t="s">
        <v>286</v>
      </c>
      <c r="L109" s="69" t="s">
        <v>387</v>
      </c>
      <c r="M109" s="48">
        <v>180000</v>
      </c>
      <c r="N109" s="7"/>
      <c r="O109" s="5"/>
      <c r="P109" s="6"/>
      <c r="Q109" s="10"/>
      <c r="R109" s="10"/>
    </row>
    <row r="110" spans="1:18" ht="15" customHeight="1" x14ac:dyDescent="0.35">
      <c r="A110" s="38" t="s">
        <v>252</v>
      </c>
      <c r="B110" s="39" t="s">
        <v>112</v>
      </c>
      <c r="C110" s="40"/>
      <c r="D110" s="41" t="s">
        <v>285</v>
      </c>
      <c r="E110" s="41">
        <v>30547</v>
      </c>
      <c r="F110" s="59"/>
      <c r="G110" s="42"/>
      <c r="H110" s="43" t="s">
        <v>287</v>
      </c>
      <c r="I110" s="44"/>
      <c r="J110" s="42"/>
      <c r="K110" s="47"/>
      <c r="L110" s="45"/>
      <c r="M110" s="46"/>
      <c r="N110" s="7"/>
      <c r="O110" s="5"/>
      <c r="P110" s="6"/>
      <c r="Q110" s="10"/>
      <c r="R110" s="10"/>
    </row>
    <row r="111" spans="1:18" ht="15" customHeight="1" x14ac:dyDescent="0.35">
      <c r="A111" s="38" t="s">
        <v>253</v>
      </c>
      <c r="B111" s="39" t="s">
        <v>112</v>
      </c>
      <c r="C111" s="40"/>
      <c r="D111" s="41" t="s">
        <v>284</v>
      </c>
      <c r="E111" s="41">
        <v>41417</v>
      </c>
      <c r="F111" s="59"/>
      <c r="G111" s="42"/>
      <c r="H111" s="43" t="s">
        <v>288</v>
      </c>
      <c r="I111" s="44"/>
      <c r="J111" s="42"/>
      <c r="K111" s="47"/>
      <c r="L111" s="45"/>
      <c r="M111" s="46"/>
      <c r="N111" s="7"/>
      <c r="O111" s="5"/>
      <c r="P111" s="6"/>
      <c r="Q111" s="10"/>
      <c r="R111" s="10"/>
    </row>
    <row r="112" spans="1:18" ht="15" customHeight="1" x14ac:dyDescent="0.35">
      <c r="A112" s="38" t="s">
        <v>254</v>
      </c>
      <c r="B112" s="39" t="s">
        <v>112</v>
      </c>
      <c r="C112" s="40"/>
      <c r="D112" s="41" t="s">
        <v>285</v>
      </c>
      <c r="E112" s="41">
        <v>42612</v>
      </c>
      <c r="F112" s="59"/>
      <c r="G112" s="42"/>
      <c r="H112" s="43" t="s">
        <v>288</v>
      </c>
      <c r="I112" s="44"/>
      <c r="J112" s="42"/>
      <c r="K112" s="47"/>
      <c r="L112" s="45"/>
      <c r="M112" s="46"/>
      <c r="N112" s="7"/>
      <c r="O112" s="5"/>
      <c r="P112" s="6"/>
      <c r="Q112" s="10"/>
      <c r="R112" s="10"/>
    </row>
    <row r="113" spans="1:18" ht="15" customHeight="1" x14ac:dyDescent="0.35">
      <c r="A113" s="51" t="s">
        <v>168</v>
      </c>
      <c r="B113" s="49" t="s">
        <v>113</v>
      </c>
      <c r="C113" s="50" t="s">
        <v>388</v>
      </c>
      <c r="D113" s="52" t="s">
        <v>284</v>
      </c>
      <c r="E113" s="52">
        <v>34246</v>
      </c>
      <c r="F113" s="60" t="s">
        <v>354</v>
      </c>
      <c r="G113" s="61" t="s">
        <v>385</v>
      </c>
      <c r="H113" s="56"/>
      <c r="I113" s="57"/>
      <c r="J113" s="61" t="s">
        <v>385</v>
      </c>
      <c r="K113" s="53"/>
      <c r="L113" s="69" t="s">
        <v>387</v>
      </c>
      <c r="M113" s="48">
        <v>39520</v>
      </c>
      <c r="N113" s="7"/>
      <c r="O113" s="5"/>
      <c r="P113" s="6"/>
      <c r="Q113" s="10"/>
      <c r="R113" s="10"/>
    </row>
    <row r="114" spans="1:18" ht="15" customHeight="1" x14ac:dyDescent="0.35">
      <c r="A114" s="51" t="s">
        <v>255</v>
      </c>
      <c r="B114" s="49" t="s">
        <v>114</v>
      </c>
      <c r="C114" s="50" t="s">
        <v>27</v>
      </c>
      <c r="D114" s="52" t="s">
        <v>285</v>
      </c>
      <c r="E114" s="52">
        <v>27402</v>
      </c>
      <c r="F114" s="60" t="s">
        <v>355</v>
      </c>
      <c r="G114" s="61" t="s">
        <v>385</v>
      </c>
      <c r="H114" s="56"/>
      <c r="I114" s="57"/>
      <c r="J114" s="61" t="s">
        <v>385</v>
      </c>
      <c r="K114" s="53" t="s">
        <v>286</v>
      </c>
      <c r="L114" s="69" t="s">
        <v>387</v>
      </c>
      <c r="M114" s="48">
        <v>45760</v>
      </c>
      <c r="N114" s="7"/>
      <c r="O114" s="5"/>
      <c r="P114" s="6"/>
      <c r="Q114" s="10"/>
      <c r="R114" s="10"/>
    </row>
    <row r="115" spans="1:18" ht="15" customHeight="1" x14ac:dyDescent="0.35">
      <c r="A115" s="38" t="s">
        <v>256</v>
      </c>
      <c r="B115" s="39" t="s">
        <v>115</v>
      </c>
      <c r="C115" s="40"/>
      <c r="D115" s="41" t="s">
        <v>284</v>
      </c>
      <c r="E115" s="41">
        <v>27094</v>
      </c>
      <c r="F115" s="59"/>
      <c r="G115" s="42"/>
      <c r="H115" s="43" t="s">
        <v>287</v>
      </c>
      <c r="I115" s="44"/>
      <c r="J115" s="42"/>
      <c r="K115" s="47"/>
      <c r="L115" s="45"/>
      <c r="M115" s="46"/>
      <c r="N115" s="7"/>
      <c r="O115" s="5"/>
      <c r="P115" s="6"/>
      <c r="Q115" s="10"/>
      <c r="R115" s="10"/>
    </row>
    <row r="116" spans="1:18" ht="15" customHeight="1" x14ac:dyDescent="0.35">
      <c r="A116" s="51" t="s">
        <v>237</v>
      </c>
      <c r="B116" s="49" t="s">
        <v>116</v>
      </c>
      <c r="C116" s="50" t="s">
        <v>388</v>
      </c>
      <c r="D116" s="52" t="s">
        <v>284</v>
      </c>
      <c r="E116" s="52">
        <v>30143</v>
      </c>
      <c r="F116" s="60" t="s">
        <v>356</v>
      </c>
      <c r="G116" s="61" t="s">
        <v>385</v>
      </c>
      <c r="H116" s="56"/>
      <c r="I116" s="57"/>
      <c r="J116" s="61" t="s">
        <v>385</v>
      </c>
      <c r="K116" s="53"/>
      <c r="L116" s="69" t="s">
        <v>387</v>
      </c>
      <c r="M116" s="48">
        <v>34320</v>
      </c>
      <c r="N116" s="7"/>
      <c r="O116" s="5"/>
      <c r="P116" s="6"/>
      <c r="Q116" s="10"/>
      <c r="R116" s="10"/>
    </row>
    <row r="117" spans="1:18" ht="15" customHeight="1" x14ac:dyDescent="0.35">
      <c r="A117" s="51" t="s">
        <v>257</v>
      </c>
      <c r="B117" s="49" t="s">
        <v>117</v>
      </c>
      <c r="C117" s="50" t="s">
        <v>388</v>
      </c>
      <c r="D117" s="52" t="s">
        <v>284</v>
      </c>
      <c r="E117" s="52">
        <v>37202</v>
      </c>
      <c r="F117" s="60" t="s">
        <v>357</v>
      </c>
      <c r="G117" s="61" t="s">
        <v>385</v>
      </c>
      <c r="H117" s="56"/>
      <c r="I117" s="57"/>
      <c r="J117" s="61" t="s">
        <v>385</v>
      </c>
      <c r="K117" s="53"/>
      <c r="L117" s="69" t="s">
        <v>387</v>
      </c>
      <c r="M117" s="48">
        <v>38480</v>
      </c>
      <c r="N117" s="7"/>
      <c r="O117" s="5"/>
      <c r="P117" s="6"/>
      <c r="Q117" s="10"/>
      <c r="R117" s="10"/>
    </row>
    <row r="118" spans="1:18" ht="15" customHeight="1" x14ac:dyDescent="0.35">
      <c r="A118" s="51" t="s">
        <v>258</v>
      </c>
      <c r="B118" s="49" t="s">
        <v>118</v>
      </c>
      <c r="C118" s="50" t="s">
        <v>26</v>
      </c>
      <c r="D118" s="52" t="s">
        <v>284</v>
      </c>
      <c r="E118" s="52">
        <v>23631</v>
      </c>
      <c r="F118" s="60" t="s">
        <v>358</v>
      </c>
      <c r="G118" s="61" t="s">
        <v>385</v>
      </c>
      <c r="H118" s="56"/>
      <c r="I118" s="57"/>
      <c r="J118" s="61" t="s">
        <v>385</v>
      </c>
      <c r="K118" s="53" t="s">
        <v>286</v>
      </c>
      <c r="L118" s="69" t="s">
        <v>387</v>
      </c>
      <c r="M118" s="48">
        <v>40560</v>
      </c>
      <c r="N118" s="7"/>
      <c r="O118" s="5"/>
      <c r="P118" s="6"/>
      <c r="Q118" s="10"/>
      <c r="R118" s="10"/>
    </row>
    <row r="119" spans="1:18" ht="15" customHeight="1" x14ac:dyDescent="0.35">
      <c r="A119" s="51" t="s">
        <v>171</v>
      </c>
      <c r="B119" s="49" t="s">
        <v>119</v>
      </c>
      <c r="C119" s="50" t="s">
        <v>26</v>
      </c>
      <c r="D119" s="52" t="s">
        <v>284</v>
      </c>
      <c r="E119" s="52">
        <v>22881</v>
      </c>
      <c r="F119" s="60" t="s">
        <v>359</v>
      </c>
      <c r="G119" s="61" t="s">
        <v>385</v>
      </c>
      <c r="H119" s="56"/>
      <c r="I119" s="57"/>
      <c r="J119" s="61" t="s">
        <v>385</v>
      </c>
      <c r="K119" s="53" t="s">
        <v>286</v>
      </c>
      <c r="L119" s="69" t="s">
        <v>387</v>
      </c>
      <c r="M119" s="48">
        <v>66560</v>
      </c>
      <c r="N119" s="7"/>
      <c r="O119" s="5"/>
      <c r="P119" s="6"/>
      <c r="Q119" s="10"/>
      <c r="R119" s="10"/>
    </row>
    <row r="120" spans="1:18" ht="15" customHeight="1" x14ac:dyDescent="0.35">
      <c r="A120" s="51" t="s">
        <v>259</v>
      </c>
      <c r="B120" s="49" t="s">
        <v>120</v>
      </c>
      <c r="C120" s="50" t="s">
        <v>28</v>
      </c>
      <c r="D120" s="52" t="s">
        <v>284</v>
      </c>
      <c r="E120" s="52">
        <v>34269</v>
      </c>
      <c r="F120" s="60" t="s">
        <v>360</v>
      </c>
      <c r="G120" s="61" t="s">
        <v>385</v>
      </c>
      <c r="H120" s="56"/>
      <c r="I120" s="57"/>
      <c r="J120" s="61" t="s">
        <v>385</v>
      </c>
      <c r="K120" s="53" t="s">
        <v>286</v>
      </c>
      <c r="L120" s="69" t="s">
        <v>387</v>
      </c>
      <c r="M120" s="48">
        <v>74880</v>
      </c>
      <c r="N120" s="7"/>
      <c r="O120" s="5"/>
      <c r="P120" s="6"/>
      <c r="Q120" s="10"/>
      <c r="R120" s="10"/>
    </row>
    <row r="121" spans="1:18" ht="15" customHeight="1" x14ac:dyDescent="0.35">
      <c r="A121" s="38" t="s">
        <v>260</v>
      </c>
      <c r="B121" s="39" t="s">
        <v>120</v>
      </c>
      <c r="C121" s="40"/>
      <c r="D121" s="41" t="s">
        <v>285</v>
      </c>
      <c r="E121" s="41">
        <v>45945</v>
      </c>
      <c r="F121" s="59"/>
      <c r="G121" s="42"/>
      <c r="H121" s="43" t="s">
        <v>288</v>
      </c>
      <c r="I121" s="44"/>
      <c r="J121" s="42"/>
      <c r="K121" s="47"/>
      <c r="L121" s="45"/>
      <c r="M121" s="46"/>
      <c r="N121" s="7"/>
      <c r="O121" s="5"/>
      <c r="P121" s="6"/>
      <c r="Q121" s="10"/>
      <c r="R121" s="10"/>
    </row>
    <row r="122" spans="1:18" ht="15" customHeight="1" x14ac:dyDescent="0.35">
      <c r="A122" s="51" t="s">
        <v>261</v>
      </c>
      <c r="B122" s="49" t="s">
        <v>121</v>
      </c>
      <c r="C122" s="50" t="s">
        <v>388</v>
      </c>
      <c r="D122" s="52" t="s">
        <v>284</v>
      </c>
      <c r="E122" s="52">
        <v>30920</v>
      </c>
      <c r="F122" s="60" t="s">
        <v>361</v>
      </c>
      <c r="G122" s="61" t="s">
        <v>385</v>
      </c>
      <c r="H122" s="56"/>
      <c r="I122" s="57"/>
      <c r="J122" s="61" t="s">
        <v>385</v>
      </c>
      <c r="K122" s="53"/>
      <c r="L122" s="69" t="s">
        <v>387</v>
      </c>
      <c r="M122" s="48">
        <v>43680</v>
      </c>
      <c r="N122" s="7"/>
      <c r="O122" s="5"/>
      <c r="P122" s="6"/>
      <c r="Q122" s="10"/>
      <c r="R122" s="10"/>
    </row>
    <row r="123" spans="1:18" ht="15" customHeight="1" x14ac:dyDescent="0.35">
      <c r="A123" s="51" t="s">
        <v>262</v>
      </c>
      <c r="B123" s="49" t="s">
        <v>122</v>
      </c>
      <c r="C123" s="50" t="s">
        <v>388</v>
      </c>
      <c r="D123" s="52" t="s">
        <v>284</v>
      </c>
      <c r="E123" s="52">
        <v>39077</v>
      </c>
      <c r="F123" s="60" t="s">
        <v>362</v>
      </c>
      <c r="G123" s="61" t="s">
        <v>385</v>
      </c>
      <c r="H123" s="56"/>
      <c r="I123" s="57"/>
      <c r="J123" s="61" t="s">
        <v>385</v>
      </c>
      <c r="K123" s="53"/>
      <c r="L123" s="69" t="s">
        <v>387</v>
      </c>
      <c r="M123" s="48">
        <v>33280</v>
      </c>
      <c r="N123" s="7"/>
      <c r="O123" s="5"/>
      <c r="P123" s="6"/>
      <c r="Q123" s="10"/>
      <c r="R123" s="10"/>
    </row>
    <row r="124" spans="1:18" ht="15" customHeight="1" x14ac:dyDescent="0.35">
      <c r="A124" s="51" t="s">
        <v>263</v>
      </c>
      <c r="B124" s="49" t="s">
        <v>35</v>
      </c>
      <c r="C124" s="50" t="s">
        <v>26</v>
      </c>
      <c r="D124" s="52" t="s">
        <v>284</v>
      </c>
      <c r="E124" s="52">
        <v>32849</v>
      </c>
      <c r="F124" s="60" t="s">
        <v>363</v>
      </c>
      <c r="G124" s="61" t="s">
        <v>385</v>
      </c>
      <c r="H124" s="56"/>
      <c r="I124" s="57"/>
      <c r="J124" s="61" t="s">
        <v>385</v>
      </c>
      <c r="K124" s="53" t="s">
        <v>286</v>
      </c>
      <c r="L124" s="69" t="s">
        <v>387</v>
      </c>
      <c r="M124" s="48">
        <v>68640</v>
      </c>
      <c r="N124" s="7"/>
      <c r="O124" s="5"/>
      <c r="P124" s="6"/>
      <c r="Q124" s="10"/>
      <c r="R124" s="10"/>
    </row>
    <row r="125" spans="1:18" ht="15" customHeight="1" x14ac:dyDescent="0.35">
      <c r="A125" s="51" t="s">
        <v>201</v>
      </c>
      <c r="B125" s="49" t="s">
        <v>123</v>
      </c>
      <c r="C125" s="50" t="s">
        <v>26</v>
      </c>
      <c r="D125" s="52" t="s">
        <v>284</v>
      </c>
      <c r="E125" s="52">
        <v>31842</v>
      </c>
      <c r="F125" s="60" t="s">
        <v>364</v>
      </c>
      <c r="G125" s="61" t="s">
        <v>385</v>
      </c>
      <c r="H125" s="56"/>
      <c r="I125" s="57"/>
      <c r="J125" s="61" t="s">
        <v>385</v>
      </c>
      <c r="K125" s="53" t="s">
        <v>286</v>
      </c>
      <c r="L125" s="69" t="s">
        <v>387</v>
      </c>
      <c r="M125" s="48">
        <v>41600</v>
      </c>
      <c r="N125" s="7"/>
      <c r="O125" s="5"/>
      <c r="P125" s="6"/>
      <c r="Q125" s="10"/>
      <c r="R125" s="10"/>
    </row>
    <row r="126" spans="1:18" ht="15" customHeight="1" x14ac:dyDescent="0.35">
      <c r="A126" s="51" t="s">
        <v>159</v>
      </c>
      <c r="B126" s="49" t="s">
        <v>124</v>
      </c>
      <c r="C126" s="50" t="s">
        <v>388</v>
      </c>
      <c r="D126" s="52" t="s">
        <v>284</v>
      </c>
      <c r="E126" s="52">
        <v>36812</v>
      </c>
      <c r="F126" s="60" t="s">
        <v>365</v>
      </c>
      <c r="G126" s="61" t="s">
        <v>385</v>
      </c>
      <c r="H126" s="56"/>
      <c r="I126" s="57"/>
      <c r="J126" s="61" t="s">
        <v>385</v>
      </c>
      <c r="K126" s="53"/>
      <c r="L126" s="69" t="s">
        <v>387</v>
      </c>
      <c r="M126" s="48">
        <v>68640</v>
      </c>
      <c r="N126" s="7"/>
      <c r="O126" s="5"/>
      <c r="P126" s="6"/>
      <c r="Q126" s="10"/>
      <c r="R126" s="10"/>
    </row>
    <row r="127" spans="1:18" ht="15" customHeight="1" x14ac:dyDescent="0.35">
      <c r="A127" s="51" t="s">
        <v>148</v>
      </c>
      <c r="B127" s="49" t="s">
        <v>125</v>
      </c>
      <c r="C127" s="50" t="s">
        <v>26</v>
      </c>
      <c r="D127" s="52" t="s">
        <v>285</v>
      </c>
      <c r="E127" s="52">
        <v>24642</v>
      </c>
      <c r="F127" s="60" t="s">
        <v>366</v>
      </c>
      <c r="G127" s="61" t="s">
        <v>385</v>
      </c>
      <c r="H127" s="56"/>
      <c r="I127" s="57"/>
      <c r="J127" s="61" t="s">
        <v>385</v>
      </c>
      <c r="K127" s="53" t="s">
        <v>286</v>
      </c>
      <c r="L127" s="68" t="s">
        <v>386</v>
      </c>
      <c r="M127" s="48">
        <v>22880</v>
      </c>
      <c r="N127" s="7"/>
      <c r="O127" s="5"/>
      <c r="P127" s="6"/>
      <c r="Q127" s="10"/>
      <c r="R127" s="10"/>
    </row>
    <row r="128" spans="1:18" ht="15" customHeight="1" x14ac:dyDescent="0.35">
      <c r="A128" s="51" t="s">
        <v>264</v>
      </c>
      <c r="B128" s="49" t="s">
        <v>126</v>
      </c>
      <c r="C128" s="50" t="s">
        <v>388</v>
      </c>
      <c r="D128" s="52" t="s">
        <v>284</v>
      </c>
      <c r="E128" s="52">
        <v>26027</v>
      </c>
      <c r="F128" s="60" t="s">
        <v>367</v>
      </c>
      <c r="G128" s="61" t="s">
        <v>385</v>
      </c>
      <c r="H128" s="56"/>
      <c r="I128" s="57"/>
      <c r="J128" s="61" t="s">
        <v>385</v>
      </c>
      <c r="K128" s="53"/>
      <c r="L128" s="69" t="s">
        <v>387</v>
      </c>
      <c r="M128" s="48">
        <v>34320</v>
      </c>
      <c r="N128" s="7"/>
      <c r="O128" s="5"/>
      <c r="P128" s="6"/>
      <c r="Q128" s="10"/>
      <c r="R128" s="10"/>
    </row>
    <row r="129" spans="1:18" ht="15" customHeight="1" x14ac:dyDescent="0.35">
      <c r="A129" s="51" t="s">
        <v>265</v>
      </c>
      <c r="B129" s="49" t="s">
        <v>127</v>
      </c>
      <c r="C129" s="50" t="s">
        <v>388</v>
      </c>
      <c r="D129" s="52" t="s">
        <v>284</v>
      </c>
      <c r="E129" s="52">
        <v>34583</v>
      </c>
      <c r="F129" s="60" t="s">
        <v>368</v>
      </c>
      <c r="G129" s="61" t="s">
        <v>385</v>
      </c>
      <c r="H129" s="56"/>
      <c r="I129" s="57"/>
      <c r="J129" s="61" t="s">
        <v>385</v>
      </c>
      <c r="K129" s="53"/>
      <c r="L129" s="69" t="s">
        <v>387</v>
      </c>
      <c r="M129" s="48">
        <v>37440</v>
      </c>
      <c r="N129" s="7"/>
      <c r="O129" s="5"/>
      <c r="P129" s="6"/>
      <c r="Q129" s="10"/>
      <c r="R129" s="10"/>
    </row>
    <row r="130" spans="1:18" ht="15" customHeight="1" x14ac:dyDescent="0.35">
      <c r="A130" s="51" t="s">
        <v>266</v>
      </c>
      <c r="B130" s="49" t="s">
        <v>128</v>
      </c>
      <c r="C130" s="50" t="s">
        <v>26</v>
      </c>
      <c r="D130" s="52" t="s">
        <v>284</v>
      </c>
      <c r="E130" s="52">
        <v>31426</v>
      </c>
      <c r="F130" s="60" t="s">
        <v>369</v>
      </c>
      <c r="G130" s="61" t="s">
        <v>385</v>
      </c>
      <c r="H130" s="56"/>
      <c r="I130" s="57"/>
      <c r="J130" s="61" t="s">
        <v>385</v>
      </c>
      <c r="K130" s="53" t="s">
        <v>286</v>
      </c>
      <c r="L130" s="69" t="s">
        <v>387</v>
      </c>
      <c r="M130" s="48">
        <v>38480</v>
      </c>
      <c r="N130" s="7"/>
      <c r="O130" s="5"/>
      <c r="P130" s="6"/>
      <c r="Q130" s="10"/>
      <c r="R130" s="10"/>
    </row>
    <row r="131" spans="1:18" ht="15" customHeight="1" x14ac:dyDescent="0.35">
      <c r="A131" s="51" t="s">
        <v>267</v>
      </c>
      <c r="B131" s="49" t="s">
        <v>129</v>
      </c>
      <c r="C131" s="50" t="s">
        <v>388</v>
      </c>
      <c r="D131" s="52" t="s">
        <v>284</v>
      </c>
      <c r="E131" s="52">
        <v>38097</v>
      </c>
      <c r="F131" s="60" t="s">
        <v>370</v>
      </c>
      <c r="G131" s="61" t="s">
        <v>385</v>
      </c>
      <c r="H131" s="56"/>
      <c r="I131" s="57"/>
      <c r="J131" s="61" t="s">
        <v>385</v>
      </c>
      <c r="K131" s="53"/>
      <c r="L131" s="69" t="s">
        <v>387</v>
      </c>
      <c r="M131" s="48">
        <v>35360</v>
      </c>
      <c r="N131" s="7"/>
      <c r="O131" s="5"/>
      <c r="P131" s="6"/>
      <c r="Q131" s="10"/>
      <c r="R131" s="10"/>
    </row>
    <row r="132" spans="1:18" ht="15" customHeight="1" x14ac:dyDescent="0.35">
      <c r="A132" s="51" t="s">
        <v>268</v>
      </c>
      <c r="B132" s="49" t="s">
        <v>130</v>
      </c>
      <c r="C132" s="50" t="s">
        <v>27</v>
      </c>
      <c r="D132" s="52" t="s">
        <v>285</v>
      </c>
      <c r="E132" s="52">
        <v>17952</v>
      </c>
      <c r="F132" s="60">
        <v>32901</v>
      </c>
      <c r="G132" s="61" t="s">
        <v>385</v>
      </c>
      <c r="H132" s="56"/>
      <c r="I132" s="57"/>
      <c r="J132" s="61" t="s">
        <v>385</v>
      </c>
      <c r="K132" s="53" t="s">
        <v>286</v>
      </c>
      <c r="L132" s="69" t="s">
        <v>387</v>
      </c>
      <c r="M132" s="48">
        <v>260000</v>
      </c>
      <c r="N132" s="7"/>
      <c r="O132" s="5"/>
      <c r="P132" s="6"/>
      <c r="Q132" s="10"/>
      <c r="R132" s="10"/>
    </row>
    <row r="133" spans="1:18" ht="15" customHeight="1" x14ac:dyDescent="0.35">
      <c r="A133" s="38" t="s">
        <v>207</v>
      </c>
      <c r="B133" s="39" t="s">
        <v>131</v>
      </c>
      <c r="C133" s="40"/>
      <c r="D133" s="41" t="s">
        <v>284</v>
      </c>
      <c r="E133" s="41">
        <v>18858</v>
      </c>
      <c r="F133" s="59"/>
      <c r="G133" s="42"/>
      <c r="H133" s="43" t="s">
        <v>287</v>
      </c>
      <c r="I133" s="44"/>
      <c r="J133" s="42"/>
      <c r="K133" s="47"/>
      <c r="L133" s="45"/>
      <c r="M133" s="46"/>
      <c r="N133" s="7"/>
      <c r="O133" s="5"/>
      <c r="P133" s="6"/>
      <c r="Q133" s="10"/>
      <c r="R133" s="10"/>
    </row>
    <row r="134" spans="1:18" ht="15" customHeight="1" x14ac:dyDescent="0.35">
      <c r="A134" s="51" t="s">
        <v>165</v>
      </c>
      <c r="B134" s="49" t="s">
        <v>132</v>
      </c>
      <c r="C134" s="50" t="s">
        <v>26</v>
      </c>
      <c r="D134" s="52" t="s">
        <v>284</v>
      </c>
      <c r="E134" s="52">
        <v>24086</v>
      </c>
      <c r="F134" s="60" t="s">
        <v>371</v>
      </c>
      <c r="G134" s="61" t="s">
        <v>385</v>
      </c>
      <c r="H134" s="56"/>
      <c r="I134" s="57"/>
      <c r="J134" s="61" t="s">
        <v>385</v>
      </c>
      <c r="K134" s="53" t="s">
        <v>286</v>
      </c>
      <c r="L134" s="68" t="s">
        <v>386</v>
      </c>
      <c r="M134" s="48">
        <v>27352</v>
      </c>
      <c r="N134" s="7"/>
      <c r="O134" s="5"/>
      <c r="P134" s="6"/>
      <c r="Q134" s="10"/>
      <c r="R134" s="10"/>
    </row>
    <row r="135" spans="1:18" ht="15" customHeight="1" x14ac:dyDescent="0.35">
      <c r="A135" s="51" t="s">
        <v>269</v>
      </c>
      <c r="B135" s="49" t="s">
        <v>133</v>
      </c>
      <c r="C135" s="50" t="s">
        <v>388</v>
      </c>
      <c r="D135" s="52" t="s">
        <v>284</v>
      </c>
      <c r="E135" s="52">
        <v>35162</v>
      </c>
      <c r="F135" s="60" t="s">
        <v>372</v>
      </c>
      <c r="G135" s="61" t="s">
        <v>385</v>
      </c>
      <c r="H135" s="56"/>
      <c r="I135" s="57"/>
      <c r="J135" s="61" t="s">
        <v>385</v>
      </c>
      <c r="K135" s="53"/>
      <c r="L135" s="69" t="s">
        <v>387</v>
      </c>
      <c r="M135" s="48">
        <v>37440</v>
      </c>
      <c r="N135" s="7"/>
      <c r="O135" s="5"/>
      <c r="P135" s="6"/>
      <c r="Q135" s="10"/>
      <c r="R135" s="10"/>
    </row>
    <row r="136" spans="1:18" ht="15" customHeight="1" x14ac:dyDescent="0.35">
      <c r="A136" s="51" t="s">
        <v>270</v>
      </c>
      <c r="B136" s="49" t="s">
        <v>134</v>
      </c>
      <c r="C136" s="50" t="s">
        <v>26</v>
      </c>
      <c r="D136" s="52" t="s">
        <v>284</v>
      </c>
      <c r="E136" s="52">
        <v>31035</v>
      </c>
      <c r="F136" s="60" t="s">
        <v>373</v>
      </c>
      <c r="G136" s="61" t="s">
        <v>385</v>
      </c>
      <c r="H136" s="56"/>
      <c r="I136" s="57"/>
      <c r="J136" s="61" t="s">
        <v>385</v>
      </c>
      <c r="K136" s="53" t="s">
        <v>286</v>
      </c>
      <c r="L136" s="69" t="s">
        <v>387</v>
      </c>
      <c r="M136" s="48">
        <v>41600</v>
      </c>
      <c r="N136" s="7"/>
      <c r="O136" s="5"/>
      <c r="P136" s="6"/>
      <c r="Q136" s="10"/>
      <c r="R136" s="10"/>
    </row>
    <row r="137" spans="1:18" ht="15" customHeight="1" x14ac:dyDescent="0.35">
      <c r="A137" s="51" t="s">
        <v>271</v>
      </c>
      <c r="B137" s="49" t="s">
        <v>135</v>
      </c>
      <c r="C137" s="50" t="s">
        <v>388</v>
      </c>
      <c r="D137" s="52" t="s">
        <v>284</v>
      </c>
      <c r="E137" s="52">
        <v>25969</v>
      </c>
      <c r="F137" s="60" t="s">
        <v>374</v>
      </c>
      <c r="G137" s="61" t="s">
        <v>385</v>
      </c>
      <c r="H137" s="56"/>
      <c r="I137" s="57"/>
      <c r="J137" s="61" t="s">
        <v>385</v>
      </c>
      <c r="K137" s="53"/>
      <c r="L137" s="69" t="s">
        <v>387</v>
      </c>
      <c r="M137" s="48">
        <v>187200</v>
      </c>
      <c r="N137" s="7"/>
      <c r="O137" s="5"/>
      <c r="P137" s="6"/>
      <c r="Q137" s="10"/>
      <c r="R137" s="10"/>
    </row>
    <row r="138" spans="1:18" ht="15" customHeight="1" x14ac:dyDescent="0.35">
      <c r="A138" s="51" t="s">
        <v>272</v>
      </c>
      <c r="B138" s="49" t="s">
        <v>136</v>
      </c>
      <c r="C138" s="50" t="s">
        <v>28</v>
      </c>
      <c r="D138" s="52" t="s">
        <v>284</v>
      </c>
      <c r="E138" s="52">
        <v>28653</v>
      </c>
      <c r="F138" s="60">
        <v>32937</v>
      </c>
      <c r="G138" s="61" t="s">
        <v>385</v>
      </c>
      <c r="H138" s="56"/>
      <c r="I138" s="57"/>
      <c r="J138" s="61" t="s">
        <v>385</v>
      </c>
      <c r="K138" s="53" t="s">
        <v>286</v>
      </c>
      <c r="L138" s="69" t="s">
        <v>387</v>
      </c>
      <c r="M138" s="48">
        <v>154000.07999999999</v>
      </c>
      <c r="N138" s="7"/>
      <c r="O138" s="5"/>
      <c r="P138" s="6"/>
      <c r="Q138" s="10"/>
      <c r="R138" s="10"/>
    </row>
    <row r="139" spans="1:18" ht="15" customHeight="1" x14ac:dyDescent="0.35">
      <c r="A139" s="38" t="s">
        <v>273</v>
      </c>
      <c r="B139" s="39" t="s">
        <v>136</v>
      </c>
      <c r="C139" s="40"/>
      <c r="D139" s="41" t="s">
        <v>284</v>
      </c>
      <c r="E139" s="41">
        <v>40532</v>
      </c>
      <c r="F139" s="59"/>
      <c r="G139" s="42"/>
      <c r="H139" s="43" t="s">
        <v>288</v>
      </c>
      <c r="I139" s="44"/>
      <c r="J139" s="42"/>
      <c r="K139" s="47"/>
      <c r="L139" s="45"/>
      <c r="M139" s="46"/>
      <c r="N139" s="7"/>
      <c r="O139" s="5"/>
      <c r="P139" s="6"/>
      <c r="Q139" s="10"/>
      <c r="R139" s="10"/>
    </row>
    <row r="140" spans="1:18" ht="15" customHeight="1" x14ac:dyDescent="0.35">
      <c r="A140" s="38" t="s">
        <v>274</v>
      </c>
      <c r="B140" s="39" t="s">
        <v>136</v>
      </c>
      <c r="C140" s="40"/>
      <c r="D140" s="41" t="s">
        <v>284</v>
      </c>
      <c r="E140" s="41">
        <v>41780</v>
      </c>
      <c r="F140" s="59"/>
      <c r="G140" s="42"/>
      <c r="H140" s="43" t="s">
        <v>288</v>
      </c>
      <c r="I140" s="44"/>
      <c r="J140" s="42"/>
      <c r="K140" s="47"/>
      <c r="L140" s="45"/>
      <c r="M140" s="46"/>
      <c r="N140" s="7"/>
      <c r="O140" s="5"/>
      <c r="P140" s="6"/>
      <c r="Q140" s="10"/>
      <c r="R140" s="10"/>
    </row>
    <row r="141" spans="1:18" ht="15" customHeight="1" x14ac:dyDescent="0.35">
      <c r="A141" s="51" t="s">
        <v>275</v>
      </c>
      <c r="B141" s="49" t="s">
        <v>137</v>
      </c>
      <c r="C141" s="50" t="s">
        <v>388</v>
      </c>
      <c r="D141" s="52" t="s">
        <v>284</v>
      </c>
      <c r="E141" s="52">
        <v>34528</v>
      </c>
      <c r="F141" s="60" t="s">
        <v>375</v>
      </c>
      <c r="G141" s="61" t="s">
        <v>385</v>
      </c>
      <c r="H141" s="56"/>
      <c r="I141" s="57"/>
      <c r="J141" s="61" t="s">
        <v>385</v>
      </c>
      <c r="K141" s="53"/>
      <c r="L141" s="69" t="s">
        <v>387</v>
      </c>
      <c r="M141" s="48">
        <v>36400</v>
      </c>
      <c r="N141" s="7"/>
      <c r="O141" s="5"/>
      <c r="P141" s="6"/>
      <c r="Q141" s="10"/>
      <c r="R141" s="10"/>
    </row>
    <row r="142" spans="1:18" ht="15" customHeight="1" x14ac:dyDescent="0.35">
      <c r="A142" s="51" t="s">
        <v>276</v>
      </c>
      <c r="B142" s="49" t="s">
        <v>138</v>
      </c>
      <c r="C142" s="50" t="s">
        <v>388</v>
      </c>
      <c r="D142" s="52" t="s">
        <v>284</v>
      </c>
      <c r="E142" s="52">
        <v>25626</v>
      </c>
      <c r="F142" s="60" t="s">
        <v>376</v>
      </c>
      <c r="G142" s="61" t="s">
        <v>385</v>
      </c>
      <c r="H142" s="56"/>
      <c r="I142" s="57"/>
      <c r="J142" s="61" t="s">
        <v>385</v>
      </c>
      <c r="K142" s="53"/>
      <c r="L142" s="69" t="s">
        <v>387</v>
      </c>
      <c r="M142" s="48">
        <v>37440</v>
      </c>
      <c r="N142" s="7"/>
      <c r="O142" s="5"/>
      <c r="P142" s="6"/>
      <c r="Q142" s="10"/>
      <c r="R142" s="10"/>
    </row>
    <row r="143" spans="1:18" ht="15" customHeight="1" x14ac:dyDescent="0.35">
      <c r="A143" s="51" t="s">
        <v>277</v>
      </c>
      <c r="B143" s="49" t="s">
        <v>138</v>
      </c>
      <c r="C143" s="50" t="s">
        <v>388</v>
      </c>
      <c r="D143" s="52" t="s">
        <v>284</v>
      </c>
      <c r="E143" s="52">
        <v>30084</v>
      </c>
      <c r="F143" s="60" t="s">
        <v>377</v>
      </c>
      <c r="G143" s="61" t="s">
        <v>385</v>
      </c>
      <c r="H143" s="56"/>
      <c r="I143" s="57"/>
      <c r="J143" s="61" t="s">
        <v>385</v>
      </c>
      <c r="K143" s="53"/>
      <c r="L143" s="69" t="s">
        <v>387</v>
      </c>
      <c r="M143" s="48">
        <v>34320</v>
      </c>
      <c r="N143" s="7"/>
      <c r="O143" s="5"/>
      <c r="P143" s="6"/>
      <c r="Q143" s="10"/>
      <c r="R143" s="10"/>
    </row>
    <row r="144" spans="1:18" ht="15" customHeight="1" x14ac:dyDescent="0.35">
      <c r="A144" s="51" t="s">
        <v>245</v>
      </c>
      <c r="B144" s="49" t="s">
        <v>139</v>
      </c>
      <c r="C144" s="50" t="s">
        <v>388</v>
      </c>
      <c r="D144" s="52" t="s">
        <v>284</v>
      </c>
      <c r="E144" s="52">
        <v>37394</v>
      </c>
      <c r="F144" s="60" t="s">
        <v>378</v>
      </c>
      <c r="G144" s="61" t="s">
        <v>385</v>
      </c>
      <c r="H144" s="56"/>
      <c r="I144" s="57"/>
      <c r="J144" s="61" t="s">
        <v>385</v>
      </c>
      <c r="K144" s="53"/>
      <c r="L144" s="69" t="s">
        <v>387</v>
      </c>
      <c r="M144" s="48">
        <v>34320</v>
      </c>
      <c r="N144" s="7"/>
      <c r="O144" s="5"/>
      <c r="P144" s="6"/>
      <c r="Q144" s="10"/>
      <c r="R144" s="10"/>
    </row>
    <row r="145" spans="1:18" ht="15" customHeight="1" x14ac:dyDescent="0.35">
      <c r="A145" s="51" t="s">
        <v>278</v>
      </c>
      <c r="B145" s="49" t="s">
        <v>140</v>
      </c>
      <c r="C145" s="50" t="s">
        <v>388</v>
      </c>
      <c r="D145" s="52" t="s">
        <v>284</v>
      </c>
      <c r="E145" s="52">
        <v>29028</v>
      </c>
      <c r="F145" s="60" t="s">
        <v>379</v>
      </c>
      <c r="G145" s="61" t="s">
        <v>385</v>
      </c>
      <c r="H145" s="56"/>
      <c r="I145" s="57"/>
      <c r="J145" s="61" t="s">
        <v>385</v>
      </c>
      <c r="K145" s="53"/>
      <c r="L145" s="69" t="s">
        <v>387</v>
      </c>
      <c r="M145" s="48">
        <v>124000</v>
      </c>
      <c r="N145" s="7"/>
      <c r="O145" s="5"/>
      <c r="P145" s="6"/>
      <c r="Q145" s="10"/>
      <c r="R145" s="10"/>
    </row>
    <row r="146" spans="1:18" ht="15" customHeight="1" x14ac:dyDescent="0.35">
      <c r="A146" s="51" t="s">
        <v>279</v>
      </c>
      <c r="B146" s="49" t="s">
        <v>141</v>
      </c>
      <c r="C146" s="50" t="s">
        <v>388</v>
      </c>
      <c r="D146" s="52" t="s">
        <v>284</v>
      </c>
      <c r="E146" s="52">
        <v>25357</v>
      </c>
      <c r="F146" s="60" t="s">
        <v>380</v>
      </c>
      <c r="G146" s="61" t="s">
        <v>385</v>
      </c>
      <c r="H146" s="56"/>
      <c r="I146" s="57"/>
      <c r="J146" s="61" t="s">
        <v>385</v>
      </c>
      <c r="K146" s="53"/>
      <c r="L146" s="69" t="s">
        <v>387</v>
      </c>
      <c r="M146" s="48">
        <v>33280</v>
      </c>
      <c r="N146" s="7"/>
      <c r="O146" s="5"/>
      <c r="P146" s="6"/>
      <c r="Q146" s="10"/>
      <c r="R146" s="10"/>
    </row>
    <row r="147" spans="1:18" ht="15" customHeight="1" x14ac:dyDescent="0.35">
      <c r="A147" s="51" t="s">
        <v>280</v>
      </c>
      <c r="B147" s="49" t="s">
        <v>142</v>
      </c>
      <c r="C147" s="50" t="s">
        <v>26</v>
      </c>
      <c r="D147" s="52" t="s">
        <v>284</v>
      </c>
      <c r="E147" s="52">
        <v>28292</v>
      </c>
      <c r="F147" s="60" t="s">
        <v>381</v>
      </c>
      <c r="G147" s="61" t="s">
        <v>385</v>
      </c>
      <c r="H147" s="56"/>
      <c r="I147" s="57"/>
      <c r="J147" s="61" t="s">
        <v>385</v>
      </c>
      <c r="K147" s="53" t="s">
        <v>286</v>
      </c>
      <c r="L147" s="69" t="s">
        <v>387</v>
      </c>
      <c r="M147" s="48">
        <v>42848</v>
      </c>
      <c r="N147" s="7"/>
      <c r="O147" s="5"/>
      <c r="P147" s="6"/>
      <c r="Q147" s="10"/>
      <c r="R147" s="10"/>
    </row>
    <row r="148" spans="1:18" ht="15" customHeight="1" x14ac:dyDescent="0.35">
      <c r="A148" s="51" t="s">
        <v>281</v>
      </c>
      <c r="B148" s="49" t="s">
        <v>143</v>
      </c>
      <c r="C148" s="50" t="s">
        <v>388</v>
      </c>
      <c r="D148" s="52" t="s">
        <v>284</v>
      </c>
      <c r="E148" s="52">
        <v>27040</v>
      </c>
      <c r="F148" s="60" t="s">
        <v>382</v>
      </c>
      <c r="G148" s="61" t="s">
        <v>385</v>
      </c>
      <c r="H148" s="56"/>
      <c r="I148" s="57"/>
      <c r="J148" s="61" t="s">
        <v>385</v>
      </c>
      <c r="K148" s="53"/>
      <c r="L148" s="69" t="s">
        <v>387</v>
      </c>
      <c r="M148" s="48">
        <v>33800</v>
      </c>
      <c r="N148" s="7"/>
      <c r="O148" s="5"/>
      <c r="P148" s="6"/>
      <c r="Q148" s="10"/>
      <c r="R148" s="10"/>
    </row>
    <row r="149" spans="1:18" ht="15" customHeight="1" x14ac:dyDescent="0.35">
      <c r="A149" s="51" t="s">
        <v>282</v>
      </c>
      <c r="B149" s="49" t="s">
        <v>144</v>
      </c>
      <c r="C149" s="50" t="s">
        <v>388</v>
      </c>
      <c r="D149" s="52" t="s">
        <v>284</v>
      </c>
      <c r="E149" s="52">
        <v>30190</v>
      </c>
      <c r="F149" s="60" t="s">
        <v>383</v>
      </c>
      <c r="G149" s="61" t="s">
        <v>385</v>
      </c>
      <c r="H149" s="56"/>
      <c r="I149" s="57"/>
      <c r="J149" s="61" t="s">
        <v>385</v>
      </c>
      <c r="K149" s="53"/>
      <c r="L149" s="69" t="s">
        <v>387</v>
      </c>
      <c r="M149" s="48">
        <v>34320</v>
      </c>
      <c r="N149" s="7"/>
      <c r="O149" s="5"/>
      <c r="P149" s="6"/>
      <c r="Q149" s="10"/>
      <c r="R149" s="10"/>
    </row>
    <row r="150" spans="1:18" ht="15" customHeight="1" x14ac:dyDescent="0.35">
      <c r="A150" s="51" t="s">
        <v>283</v>
      </c>
      <c r="B150" s="49" t="s">
        <v>145</v>
      </c>
      <c r="C150" s="50" t="s">
        <v>26</v>
      </c>
      <c r="D150" s="52" t="s">
        <v>284</v>
      </c>
      <c r="E150" s="52">
        <v>29529</v>
      </c>
      <c r="F150" s="60" t="s">
        <v>384</v>
      </c>
      <c r="G150" s="61" t="s">
        <v>385</v>
      </c>
      <c r="H150" s="56"/>
      <c r="I150" s="57"/>
      <c r="J150" s="61" t="s">
        <v>385</v>
      </c>
      <c r="K150" s="53" t="s">
        <v>286</v>
      </c>
      <c r="L150" s="69" t="s">
        <v>387</v>
      </c>
      <c r="M150" s="48">
        <v>41600</v>
      </c>
      <c r="N150" s="7"/>
      <c r="O150" s="5"/>
      <c r="P150" s="6"/>
      <c r="Q150" s="10"/>
      <c r="R150" s="10"/>
    </row>
    <row r="151" spans="1:18" ht="16" thickBot="1" x14ac:dyDescent="0.4">
      <c r="A151" s="19"/>
      <c r="B151" s="20"/>
      <c r="C151" s="21"/>
      <c r="D151" s="22"/>
      <c r="E151" s="23"/>
      <c r="F151" s="24"/>
      <c r="G151" s="25"/>
      <c r="H151" s="26"/>
      <c r="I151" s="25"/>
      <c r="J151" s="25"/>
      <c r="K151" s="27"/>
      <c r="L151" s="31"/>
      <c r="M151" s="28">
        <f>SUM(M3:M150)</f>
        <v>7978507.96</v>
      </c>
      <c r="N151" s="4">
        <f>_xlfn.IFS(O4="Bi-Weekly",P4*26,O4="Semi-Monthly",P4*24,O4="Monthly",P4*12,O4="Weekly",P4*52)</f>
        <v>0</v>
      </c>
      <c r="O151" s="8"/>
    </row>
  </sheetData>
  <autoFilter ref="A2:M152" xr:uid="{00000000-0009-0000-0000-000000000000}">
    <sortState xmlns:xlrd2="http://schemas.microsoft.com/office/spreadsheetml/2017/richdata2" ref="A3:M151">
      <sortCondition ref="B2:B151"/>
    </sortState>
  </autoFilter>
  <mergeCells count="1">
    <mergeCell ref="A1:M1"/>
  </mergeCells>
  <conditionalFormatting sqref="A163:G163 I163:M163 H164">
    <cfRule type="expression" dxfId="7" priority="320">
      <formula>$H164="Child"</formula>
    </cfRule>
    <cfRule type="expression" dxfId="6" priority="321">
      <formula>$H164= "Spouse"</formula>
    </cfRule>
  </conditionalFormatting>
  <conditionalFormatting sqref="A164:G164 I164:M164">
    <cfRule type="expression" dxfId="5" priority="322">
      <formula>#REF!="Child"</formula>
    </cfRule>
    <cfRule type="expression" dxfId="4" priority="323">
      <formula>#REF!= "Spouse"</formula>
    </cfRule>
  </conditionalFormatting>
  <conditionalFormatting sqref="A151:M162 H164 A165:M1126">
    <cfRule type="expression" dxfId="3" priority="314">
      <formula>$H151="Child"</formula>
    </cfRule>
    <cfRule type="expression" dxfId="2" priority="315">
      <formula>$H151= "Spouse"</formula>
    </cfRule>
  </conditionalFormatting>
  <conditionalFormatting sqref="N151">
    <cfRule type="cellIs" dxfId="1" priority="12" operator="lessThan">
      <formula>$M$151*0.9</formula>
    </cfRule>
    <cfRule type="cellIs" dxfId="0" priority="13" operator="greaterThan">
      <formula>$M$151*1.1</formula>
    </cfRule>
  </conditionalFormatting>
  <pageMargins left="0.25" right="0.25" top="0.75" bottom="0.75" header="0.3" footer="0.3"/>
  <pageSetup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errorTitle="Invalid Entry!" error="Please select a payroll frequency from the list." promptTitle="Payroll Frequency" prompt="Please Select a payroll frequency from the list" xr:uid="{00000000-0002-0000-0000-000000000000}">
          <x14:formula1>
            <xm:f>Sheet1!$A$2:$A$5</xm:f>
          </x14:formula1>
          <xm:sqref>O4:O150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4"/>
  <sheetViews>
    <sheetView workbookViewId="0"/>
  </sheetViews>
  <sheetFormatPr defaultRowHeight="14.5" x14ac:dyDescent="0.35"/>
  <cols>
    <col min="1" max="1" width="12.6328125" bestFit="1" customWidth="1"/>
    <col min="2" max="2" width="20" bestFit="1" customWidth="1"/>
    <col min="3" max="3" width="17.26953125" bestFit="1" customWidth="1"/>
  </cols>
  <sheetData>
    <row r="3" spans="1:3" x14ac:dyDescent="0.35">
      <c r="A3" s="11" t="s">
        <v>19</v>
      </c>
      <c r="B3" t="s">
        <v>21</v>
      </c>
      <c r="C3" t="s">
        <v>22</v>
      </c>
    </row>
    <row r="4" spans="1:3" x14ac:dyDescent="0.35">
      <c r="A4" s="12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C39" sqref="C39"/>
    </sheetView>
  </sheetViews>
  <sheetFormatPr defaultRowHeight="14.5" x14ac:dyDescent="0.35"/>
  <cols>
    <col min="1" max="1" width="19" customWidth="1"/>
  </cols>
  <sheetData>
    <row r="1" spans="1:1" x14ac:dyDescent="0.35">
      <c r="A1" t="s">
        <v>10</v>
      </c>
    </row>
    <row r="2" spans="1:1" x14ac:dyDescent="0.35">
      <c r="A2" t="s">
        <v>11</v>
      </c>
    </row>
    <row r="3" spans="1:1" x14ac:dyDescent="0.35">
      <c r="A3" t="s">
        <v>12</v>
      </c>
    </row>
    <row r="4" spans="1:1" x14ac:dyDescent="0.35">
      <c r="A4" t="s">
        <v>13</v>
      </c>
    </row>
    <row r="5" spans="1:1" x14ac:dyDescent="0.35">
      <c r="A5" t="s">
        <v>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a4dc6c5-e5d4-411b-93f3-da2ea9494fd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BE9CC633E236499D5B8C2FB59B216C" ma:contentTypeVersion="18" ma:contentTypeDescription="Create a new document." ma:contentTypeScope="" ma:versionID="15544af242243278b33b2ba34947d0a0">
  <xsd:schema xmlns:xsd="http://www.w3.org/2001/XMLSchema" xmlns:xs="http://www.w3.org/2001/XMLSchema" xmlns:p="http://schemas.microsoft.com/office/2006/metadata/properties" xmlns:ns3="42d07a38-0bf5-4253-8bb4-94649df56c33" xmlns:ns4="8a4dc6c5-e5d4-411b-93f3-da2ea9494fd6" targetNamespace="http://schemas.microsoft.com/office/2006/metadata/properties" ma:root="true" ma:fieldsID="39e7a60973bb6961afe48d4064c655cb" ns3:_="" ns4:_="">
    <xsd:import namespace="42d07a38-0bf5-4253-8bb4-94649df56c33"/>
    <xsd:import namespace="8a4dc6c5-e5d4-411b-93f3-da2ea9494fd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3:SharedWithDetails" minOccurs="0"/>
                <xsd:element ref="ns3:SharingHintHash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d07a38-0bf5-4253-8bb4-94649df56c3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4dc6c5-e5d4-411b-93f3-da2ea9494f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2" nillable="true" ma:displayName="MediaServiceAutoTags" ma:description="" ma:internalName="MediaServiceAutoTags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F1C954-DAF7-4BEC-929C-100A0A7698E7}">
  <ds:schemaRefs>
    <ds:schemaRef ds:uri="http://www.w3.org/XML/1998/namespace"/>
    <ds:schemaRef ds:uri="8a4dc6c5-e5d4-411b-93f3-da2ea9494fd6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42d07a38-0bf5-4253-8bb4-94649df56c33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E8D4596-F05A-4604-B602-3FAAF55C36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d07a38-0bf5-4253-8bb4-94649df56c33"/>
    <ds:schemaRef ds:uri="8a4dc6c5-e5d4-411b-93f3-da2ea9494f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0C01AC-8E98-4DB5-AAA7-C785FF8F15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Census</vt:lpstr>
      <vt:lpstr>WC Tab</vt:lpstr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PEO Spectrum 3</dc:creator>
  <cp:lastModifiedBy>Michelle Long</cp:lastModifiedBy>
  <cp:lastPrinted>2018-07-11T19:10:13Z</cp:lastPrinted>
  <dcterms:created xsi:type="dcterms:W3CDTF">2015-09-10T19:22:27Z</dcterms:created>
  <dcterms:modified xsi:type="dcterms:W3CDTF">2026-04-17T23:16:54Z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0x010100E3BE9CC633E236499D5B8C2FB59B216C</vt:lpwstr>
  </property>
  <property fmtid="{D5CDD505-2E9C-101B-9397-08002B2CF9AE}" pid="3" name="MSIP_Label_024266f0-f6cc-441b-832a-c62fb7775011_Enabled">
    <vt:lpwstr>true</vt:lpwstr>
  </property>
  <property fmtid="{D5CDD505-2E9C-101B-9397-08002B2CF9AE}" pid="4" name="MSIP_Label_024266f0-f6cc-441b-832a-c62fb7775011_SetDate">
    <vt:lpwstr>2026-04-17T23:16:54Z</vt:lpwstr>
  </property>
  <property fmtid="{D5CDD505-2E9C-101B-9397-08002B2CF9AE}" pid="5" name="MSIP_Label_024266f0-f6cc-441b-832a-c62fb7775011_Method">
    <vt:lpwstr>Standard</vt:lpwstr>
  </property>
  <property fmtid="{D5CDD505-2E9C-101B-9397-08002B2CF9AE}" pid="6" name="MSIP_Label_024266f0-f6cc-441b-832a-c62fb7775011_Name">
    <vt:lpwstr>Public</vt:lpwstr>
  </property>
  <property fmtid="{D5CDD505-2E9C-101B-9397-08002B2CF9AE}" pid="7" name="MSIP_Label_024266f0-f6cc-441b-832a-c62fb7775011_SiteId">
    <vt:lpwstr>11bfe7ed-a96d-47b8-93b9-f1d5ced7091b</vt:lpwstr>
  </property>
  <property fmtid="{D5CDD505-2E9C-101B-9397-08002B2CF9AE}" pid="8" name="MSIP_Label_024266f0-f6cc-441b-832a-c62fb7775011_ActionId">
    <vt:lpwstr>25b360a5-412c-43ae-b47c-dfac73b7f897</vt:lpwstr>
  </property>
  <property fmtid="{D5CDD505-2E9C-101B-9397-08002B2CF9AE}" pid="9" name="MSIP_Label_024266f0-f6cc-441b-832a-c62fb7775011_ContentBits">
    <vt:lpwstr>0</vt:lpwstr>
  </property>
  <property fmtid="{D5CDD505-2E9C-101B-9397-08002B2CF9AE}" pid="10" name="MSIP_Label_024266f0-f6cc-441b-832a-c62fb7775011_Tag">
    <vt:lpwstr>10, 3, 0, 1</vt:lpwstr>
  </property>
</Properties>
</file>